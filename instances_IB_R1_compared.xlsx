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ances_bilevel_IB_IR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<sst xmlns="http://schemas.openxmlformats.org/spreadsheetml/2006/main" count="3412" uniqueCount="833">
  <si>
    <t xml:space="preserve">id</t>
  </si>
  <si>
    <t xml:space="preserve">seed</t>
  </si>
  <si>
    <t xml:space="preserve">DeltaRandom</t>
  </si>
  <si>
    <t xml:space="preserve">DDecrease</t>
  </si>
  <si>
    <t xml:space="preserve">D_t</t>
  </si>
  <si>
    <t xml:space="preserve">B</t>
  </si>
  <si>
    <t xml:space="preserve">LT</t>
  </si>
  <si>
    <t xml:space="preserve">LS</t>
  </si>
  <si>
    <t xml:space="preserve">LF</t>
  </si>
  <si>
    <t xml:space="preserve">LL</t>
  </si>
  <si>
    <t xml:space="preserve">delta</t>
  </si>
  <si>
    <t xml:space="preserve">lobjval</t>
  </si>
  <si>
    <t xml:space="preserve">lz1</t>
  </si>
  <si>
    <t xml:space="preserve">lz2</t>
  </si>
  <si>
    <t xml:space="preserve">fobjval</t>
  </si>
  <si>
    <t xml:space="preserve">tot_runtime</t>
  </si>
  <si>
    <t xml:space="preserve">gapf</t>
  </si>
  <si>
    <t xml:space="preserve">best_it</t>
  </si>
  <si>
    <t xml:space="preserve">himprov</t>
  </si>
  <si>
    <t xml:space="preserve">solved</t>
  </si>
  <si>
    <t xml:space="preserve">solvedGA</t>
  </si>
  <si>
    <t xml:space="preserve">lobjvalGA</t>
  </si>
  <si>
    <t xml:space="preserve">fobjvalGA</t>
  </si>
  <si>
    <t xml:space="preserve">tot_runtimeGA</t>
  </si>
  <si>
    <t xml:space="preserve">obj_compar</t>
  </si>
  <si>
    <t xml:space="preserve">gap_ga</t>
  </si>
  <si>
    <t xml:space="preserve">runtime_compar</t>
  </si>
  <si>
    <t xml:space="preserve">gap_runtime</t>
  </si>
  <si>
    <t xml:space="preserve">totals</t>
  </si>
  <si>
    <t xml:space="preserve">totals_value</t>
  </si>
  <si>
    <t xml:space="preserve">IB_B1171_D1000_F3_L4_T_5_seed_0</t>
  </si>
  <si>
    <t xml:space="preserve">False</t>
  </si>
  <si>
    <t xml:space="preserve">-inf</t>
  </si>
  <si>
    <t xml:space="preserve">Diff FO - GA</t>
  </si>
  <si>
    <t xml:space="preserve">IB_B1363_D1000_F3_L4_T_5_seed_1</t>
  </si>
  <si>
    <t xml:space="preserve">GAP GA</t>
  </si>
  <si>
    <t xml:space="preserve">IB_B1312_D1000_F3_L4_T_5_seed_2</t>
  </si>
  <si>
    <t xml:space="preserve">inf</t>
  </si>
  <si>
    <t xml:space="preserve">DELTARUN GA</t>
  </si>
  <si>
    <t xml:space="preserve">IB_B1268_D1000_F3_L4_T_5_seed_3</t>
  </si>
  <si>
    <t xml:space="preserve">GAP RUNTIME</t>
  </si>
  <si>
    <t xml:space="preserve">IB_B1372_D1000_F3_L4_T_5_seed_4</t>
  </si>
  <si>
    <t xml:space="preserve">0.0</t>
  </si>
  <si>
    <t xml:space="preserve"># best iris</t>
  </si>
  <si>
    <t xml:space="preserve">IB_B1952_D1666_F3_L4_T_5_seed_0</t>
  </si>
  <si>
    <t xml:space="preserve">#best GA</t>
  </si>
  <si>
    <t xml:space="preserve">IB_B2272_D1666_F3_L4_T_5_seed_1</t>
  </si>
  <si>
    <t xml:space="preserve">IB_B2188_D1666_F3_L4_T_5_seed_2</t>
  </si>
  <si>
    <t xml:space="preserve">IB_B2112_D1666_F3_L4_T_5_seed_3</t>
  </si>
  <si>
    <t xml:space="preserve">IB_B2286_D1666_F3_L4_T_5_seed_4</t>
  </si>
  <si>
    <t xml:space="preserve">IB_B2734_D2333_F3_L4_T_5_seed_0</t>
  </si>
  <si>
    <t xml:space="preserve">IB_B3182_D2333_F3_L4_T_5_seed_1</t>
  </si>
  <si>
    <t xml:space="preserve">IB_B3064_D2333_F3_L4_T_5_seed_2</t>
  </si>
  <si>
    <t xml:space="preserve">IB_B2960_D2333_F3_L4_T_5_seed_3</t>
  </si>
  <si>
    <t xml:space="preserve">IB_B3204_D2333_F3_L4_T_5_seed_4</t>
  </si>
  <si>
    <t xml:space="preserve">IB_B3907_D3333_F3_L4_T_5_seed_0</t>
  </si>
  <si>
    <t xml:space="preserve">IB_B4547_D3333_F3_L4_T_5_seed_1</t>
  </si>
  <si>
    <t xml:space="preserve">IB_B4380_D3333_F3_L4_T_5_seed_2</t>
  </si>
  <si>
    <t xml:space="preserve">IB_B4230_D3333_F3_L4_T_5_seed_3</t>
  </si>
  <si>
    <t xml:space="preserve">IB_B4578_D3333_F3_L4_T_5_seed_4</t>
  </si>
  <si>
    <t xml:space="preserve">IB_B1473_D1000_F3_L8_T_5_seed_0</t>
  </si>
  <si>
    <t xml:space="preserve">IB_B1628_D1000_F3_L8_T_5_seed_1</t>
  </si>
  <si>
    <t xml:space="preserve">IB_B1557_D1000_F3_L8_T_5_seed_2</t>
  </si>
  <si>
    <t xml:space="preserve">IB_B1452_D1000_F3_L8_T_5_seed_3</t>
  </si>
  <si>
    <t xml:space="preserve">IB_B1548_D1000_F3_L8_T_5_seed_4</t>
  </si>
  <si>
    <t xml:space="preserve">IB_B2456_D1666_F3_L8_T_5_seed_0</t>
  </si>
  <si>
    <t xml:space="preserve">IB_B2713_D1666_F3_L8_T_5_seed_1</t>
  </si>
  <si>
    <t xml:space="preserve">IB_B2596_D1666_F3_L8_T_5_seed_2</t>
  </si>
  <si>
    <t xml:space="preserve">IB_B2420_D1666_F3_L8_T_5_seed_3</t>
  </si>
  <si>
    <t xml:space="preserve">IB_B2581_D1666_F3_L8_T_5_seed_4</t>
  </si>
  <si>
    <t xml:space="preserve">IB_B3441_D2333_F3_L8_T_5_seed_0</t>
  </si>
  <si>
    <t xml:space="preserve">IB_B3801_D2333_F3_L8_T_5_seed_1</t>
  </si>
  <si>
    <t xml:space="preserve">IB_B3637_D2333_F3_L8_T_5_seed_2</t>
  </si>
  <si>
    <t xml:space="preserve">IB_B3390_D2333_F3_L8_T_5_seed_3</t>
  </si>
  <si>
    <t xml:space="preserve">IB_B3615_D2333_F3_L8_T_5_seed_4</t>
  </si>
  <si>
    <t xml:space="preserve">IB_B4916_D3333_F3_L8_T_5_seed_0</t>
  </si>
  <si>
    <t xml:space="preserve">IB_B5431_D3333_F3_L8_T_5_seed_1</t>
  </si>
  <si>
    <t xml:space="preserve">IB_B5197_D3333_F3_L8_T_5_seed_2</t>
  </si>
  <si>
    <t xml:space="preserve">IB_B4845_D3333_F3_L8_T_5_seed_3</t>
  </si>
  <si>
    <t xml:space="preserve">IB_B5166_D3333_F3_L8_T_5_seed_4</t>
  </si>
  <si>
    <t xml:space="preserve">IB_B1513_D1000_F3_L12_T_5_seed_0</t>
  </si>
  <si>
    <t xml:space="preserve">IB_B1643_D1000_F3_L12_T_5_seed_1</t>
  </si>
  <si>
    <t xml:space="preserve">IB_B1600_D1000_F3_L12_T_5_seed_2</t>
  </si>
  <si>
    <t xml:space="preserve">2.2</t>
  </si>
  <si>
    <t xml:space="preserve">IB_B1519_D1000_F3_L12_T_5_seed_3</t>
  </si>
  <si>
    <t xml:space="preserve">IB_B1650_D1000_F3_L12_T_5_seed_4</t>
  </si>
  <si>
    <t xml:space="preserve">IB_B2522_D1666_F3_L12_T_5_seed_0</t>
  </si>
  <si>
    <t xml:space="preserve">IB_B2737_D1666_F3_L12_T_5_seed_1</t>
  </si>
  <si>
    <t xml:space="preserve">IB_B2667_D1666_F3_L12_T_5_seed_2</t>
  </si>
  <si>
    <t xml:space="preserve">0.52</t>
  </si>
  <si>
    <t xml:space="preserve">IB_B2531_D1666_F3_L12_T_5_seed_3</t>
  </si>
  <si>
    <t xml:space="preserve">IB_B2750_D1666_F3_L12_T_5_seed_4</t>
  </si>
  <si>
    <t xml:space="preserve">IB_B3533_D2333_F3_L12_T_5_seed_0</t>
  </si>
  <si>
    <t xml:space="preserve">IB_B3835_D2333_F3_L12_T_5_seed_1</t>
  </si>
  <si>
    <t xml:space="preserve">IB_B3736_D2333_F3_L12_T_5_seed_2</t>
  </si>
  <si>
    <t xml:space="preserve">IB_B3546_D2333_F3_L12_T_5_seed_3</t>
  </si>
  <si>
    <t xml:space="preserve">IB_B3852_D2333_F3_L12_T_5_seed_4</t>
  </si>
  <si>
    <t xml:space="preserve">IB_B5049_D3333_F3_L12_T_5_seed_0</t>
  </si>
  <si>
    <t xml:space="preserve">IB_B5480_D3333_F3_L12_T_5_seed_1</t>
  </si>
  <si>
    <t xml:space="preserve">IB_B5339_D3333_F3_L12_T_5_seed_2</t>
  </si>
  <si>
    <t xml:space="preserve">1.26</t>
  </si>
  <si>
    <t xml:space="preserve">IB_B5067_D3333_F3_L12_T_5_seed_3</t>
  </si>
  <si>
    <t xml:space="preserve">IB_B5505_D3333_F3_L12_T_5_seed_4</t>
  </si>
  <si>
    <t xml:space="preserve">IB_B602_D1000_F3_L4_T_10_seed_0</t>
  </si>
  <si>
    <t xml:space="preserve">IB_B667_D1000_F3_L4_T_10_seed_1</t>
  </si>
  <si>
    <t xml:space="preserve">IB_B709_D1000_F3_L4_T_10_seed_2</t>
  </si>
  <si>
    <t xml:space="preserve">IB_B646_D1000_F3_L4_T_10_seed_3</t>
  </si>
  <si>
    <t xml:space="preserve">IB_B739_D1000_F3_L4_T_10_seed_4</t>
  </si>
  <si>
    <t xml:space="preserve">IB_B1005_D1666_F3_L4_T_10_seed_0</t>
  </si>
  <si>
    <t xml:space="preserve">IB_B1112_D1666_F3_L4_T_10_seed_1</t>
  </si>
  <si>
    <t xml:space="preserve">IB_B1183_D1666_F3_L4_T_10_seed_2</t>
  </si>
  <si>
    <t xml:space="preserve">IB_B1080_D1666_F3_L4_T_10_seed_3</t>
  </si>
  <si>
    <t xml:space="preserve">IB_B1233_D1666_F3_L4_T_10_seed_4</t>
  </si>
  <si>
    <t xml:space="preserve">IB_B1407_D2333_F3_L4_T_10_seed_0</t>
  </si>
  <si>
    <t xml:space="preserve">IB_B1558_D2333_F3_L4_T_10_seed_1</t>
  </si>
  <si>
    <t xml:space="preserve">IB_B1656_D2333_F3_L4_T_10_seed_2</t>
  </si>
  <si>
    <t xml:space="preserve">IB_B1512_D2333_F3_L4_T_10_seed_3</t>
  </si>
  <si>
    <t xml:space="preserve">IB_B1725_D2333_F3_L4_T_10_seed_4</t>
  </si>
  <si>
    <t xml:space="preserve">IB_B2011_D3333_F3_L4_T_10_seed_0</t>
  </si>
  <si>
    <t xml:space="preserve">IB_B2226_D3333_F3_L4_T_10_seed_1</t>
  </si>
  <si>
    <t xml:space="preserve">IB_B2368_D3333_F3_L4_T_10_seed_2</t>
  </si>
  <si>
    <t xml:space="preserve">IB_B2162_D3333_F3_L4_T_10_seed_3</t>
  </si>
  <si>
    <t xml:space="preserve">IB_B2467_D3333_F3_L4_T_10_seed_4</t>
  </si>
  <si>
    <t xml:space="preserve">IB_B722_D1000_F3_L8_T_10_seed_0</t>
  </si>
  <si>
    <t xml:space="preserve">IB_B763_D1000_F3_L8_T_10_seed_1</t>
  </si>
  <si>
    <t xml:space="preserve">IB_B761_D1000_F3_L8_T_10_seed_2</t>
  </si>
  <si>
    <t xml:space="preserve">IB_B734_D1000_F3_L8_T_10_seed_3</t>
  </si>
  <si>
    <t xml:space="preserve">IB_B789_D1000_F3_L8_T_10_seed_4</t>
  </si>
  <si>
    <t xml:space="preserve">IB_B1204_D1666_F3_L8_T_10_seed_0</t>
  </si>
  <si>
    <t xml:space="preserve">IB_B1272_D1666_F3_L8_T_10_seed_1</t>
  </si>
  <si>
    <t xml:space="preserve">IB_B1269_D1666_F3_L8_T_10_seed_2</t>
  </si>
  <si>
    <t xml:space="preserve">IB_B1224_D1666_F3_L8_T_10_seed_3</t>
  </si>
  <si>
    <t xml:space="preserve">IB_B1316_D1666_F3_L8_T_10_seed_4</t>
  </si>
  <si>
    <t xml:space="preserve">IB_B1686_D2333_F3_L8_T_10_seed_0</t>
  </si>
  <si>
    <t xml:space="preserve">IB_B1781_D2333_F3_L8_T_10_seed_1</t>
  </si>
  <si>
    <t xml:space="preserve">IB_B1778_D2333_F3_L8_T_10_seed_2</t>
  </si>
  <si>
    <t xml:space="preserve">IB_B1714_D2333_F3_L8_T_10_seed_3</t>
  </si>
  <si>
    <t xml:space="preserve">IB_B1843_D2333_F3_L8_T_10_seed_4</t>
  </si>
  <si>
    <t xml:space="preserve">IB_B2411_D3333_F3_L8_T_10_seed_0</t>
  </si>
  <si>
    <t xml:space="preserve">IB_B2546_D3333_F3_L8_T_10_seed_1</t>
  </si>
  <si>
    <t xml:space="preserve">IB_B2541_D3333_F3_L8_T_10_seed_2</t>
  </si>
  <si>
    <t xml:space="preserve">IB_B2451_D3333_F3_L8_T_10_seed_3</t>
  </si>
  <si>
    <t xml:space="preserve">IB_B2635_D3333_F3_L8_T_10_seed_4</t>
  </si>
  <si>
    <t xml:space="preserve">IB_B759_D1000_F3_L12_T_10_seed_0</t>
  </si>
  <si>
    <t xml:space="preserve">IB_B807_D1000_F3_L12_T_10_seed_1</t>
  </si>
  <si>
    <t xml:space="preserve">IB_B750_D1000_F3_L12_T_10_seed_2</t>
  </si>
  <si>
    <t xml:space="preserve">IB_B752_D1000_F3_L12_T_10_seed_3</t>
  </si>
  <si>
    <t xml:space="preserve">IB_B821_D1000_F3_L12_T_10_seed_4</t>
  </si>
  <si>
    <t xml:space="preserve">IB_B1266_D1666_F3_L12_T_10_seed_0</t>
  </si>
  <si>
    <t xml:space="preserve">IB_B1346_D1666_F3_L12_T_10_seed_1</t>
  </si>
  <si>
    <t xml:space="preserve">IB_B1251_D1666_F3_L12_T_10_seed_2</t>
  </si>
  <si>
    <t xml:space="preserve">IB_B1254_D1666_F3_L12_T_10_seed_3</t>
  </si>
  <si>
    <t xml:space="preserve">IB_B1371_D1666_F3_L12_T_10_seed_4</t>
  </si>
  <si>
    <t xml:space="preserve">IB_B1772_D2333_F3_L12_T_10_seed_0</t>
  </si>
  <si>
    <t xml:space="preserve">IB_B1885_D2333_F3_L12_T_10_seed_1</t>
  </si>
  <si>
    <t xml:space="preserve">IB_B1753_D2333_F3_L12_T_10_seed_2</t>
  </si>
  <si>
    <t xml:space="preserve">IB_B1756_D2333_F3_L12_T_10_seed_3</t>
  </si>
  <si>
    <t xml:space="preserve">IB_B1919_D2333_F3_L12_T_10_seed_4</t>
  </si>
  <si>
    <t xml:space="preserve">IB_B2534_D3333_F3_L12_T_10_seed_0</t>
  </si>
  <si>
    <t xml:space="preserve">IB_B2694_D3333_F3_L12_T_10_seed_1</t>
  </si>
  <si>
    <t xml:space="preserve">IB_B2505_D3333_F3_L12_T_10_seed_2</t>
  </si>
  <si>
    <t xml:space="preserve">IB_B2510_D3333_F3_L12_T_10_seed_3</t>
  </si>
  <si>
    <t xml:space="preserve">IB_B2743_D3333_F3_L12_T_10_seed_4</t>
  </si>
  <si>
    <t xml:space="preserve">IB_B387_D1000_F3_L4_T_15_seed_0</t>
  </si>
  <si>
    <t xml:space="preserve">IB_B461_D1000_F3_L4_T_15_seed_1</t>
  </si>
  <si>
    <t xml:space="preserve">IB_B453_D1000_F3_L4_T_15_seed_2</t>
  </si>
  <si>
    <t xml:space="preserve">IB_B397_D1000_F3_L4_T_15_seed_3</t>
  </si>
  <si>
    <t xml:space="preserve">-1.0</t>
  </si>
  <si>
    <t xml:space="preserve">IB_B467_D1000_F3_L4_T_15_seed_4</t>
  </si>
  <si>
    <t xml:space="preserve">IB_B646_D1666_F3_L4_T_15_seed_0</t>
  </si>
  <si>
    <t xml:space="preserve">IB_B769_D1666_F3_L4_T_15_seed_1</t>
  </si>
  <si>
    <t xml:space="preserve">IB_B756_D1666_F3_L4_T_15_seed_2</t>
  </si>
  <si>
    <t xml:space="preserve">IB_B664_D1666_F3_L4_T_15_seed_3</t>
  </si>
  <si>
    <t xml:space="preserve">IB_B779_D1666_F3_L4_T_15_seed_4</t>
  </si>
  <si>
    <t xml:space="preserve">IB_B906_D2333_F3_L4_T_15_seed_0</t>
  </si>
  <si>
    <t xml:space="preserve">IB_B1078_D2333_F3_L4_T_15_seed_1</t>
  </si>
  <si>
    <t xml:space="preserve">IB_B1060_D2333_F3_L4_T_15_seed_2</t>
  </si>
  <si>
    <t xml:space="preserve">IB_B931_D2333_F3_L4_T_15_seed_3</t>
  </si>
  <si>
    <t xml:space="preserve">IB_B1093_D2333_F3_L4_T_15_seed_4</t>
  </si>
  <si>
    <t xml:space="preserve">IB_B1296_D3333_F3_L4_T_15_seed_0</t>
  </si>
  <si>
    <t xml:space="preserve">IB_B1542_D3333_F3_L4_T_15_seed_1</t>
  </si>
  <si>
    <t xml:space="preserve">IB_B1516_D3333_F3_L4_T_15_seed_2</t>
  </si>
  <si>
    <t xml:space="preserve">IB_B1333_D3333_F3_L4_T_15_seed_3</t>
  </si>
  <si>
    <t xml:space="preserve">IB_B1563_D3333_F3_L4_T_15_seed_4</t>
  </si>
  <si>
    <t xml:space="preserve">IB_B496_D1000_F3_L8_T_15_seed_0</t>
  </si>
  <si>
    <t xml:space="preserve">IB_B514_D1000_F3_L8_T_15_seed_1</t>
  </si>
  <si>
    <t xml:space="preserve">IB_B505_D1000_F3_L8_T_15_seed_2</t>
  </si>
  <si>
    <t xml:space="preserve">IB_B489_D1000_F3_L8_T_15_seed_3</t>
  </si>
  <si>
    <t xml:space="preserve">IB_B526_D1000_F3_L8_T_15_seed_4</t>
  </si>
  <si>
    <t xml:space="preserve">IB_B828_D1666_F3_L8_T_15_seed_0</t>
  </si>
  <si>
    <t xml:space="preserve">IB_B858_D1666_F3_L8_T_15_seed_1</t>
  </si>
  <si>
    <t xml:space="preserve">IB_B843_D1666_F3_L8_T_15_seed_2</t>
  </si>
  <si>
    <t xml:space="preserve">IB_B816_D1666_F3_L8_T_15_seed_3</t>
  </si>
  <si>
    <t xml:space="preserve">IB_B878_D1666_F3_L8_T_15_seed_4</t>
  </si>
  <si>
    <t xml:space="preserve">IB_B1160_D2333_F3_L8_T_15_seed_0</t>
  </si>
  <si>
    <t xml:space="preserve">IB_B1204_D2333_F3_L8_T_15_seed_1</t>
  </si>
  <si>
    <t xml:space="preserve">IB_B1182_D2333_F3_L8_T_15_seed_2</t>
  </si>
  <si>
    <t xml:space="preserve">IB_B1145_D2333_F3_L8_T_15_seed_3</t>
  </si>
  <si>
    <t xml:space="preserve">IB_B1231_D2333_F3_L8_T_15_seed_4</t>
  </si>
  <si>
    <t xml:space="preserve">IB_B1660_D3333_F3_L8_T_15_seed_0</t>
  </si>
  <si>
    <t xml:space="preserve">IB_B1722_D3333_F3_L8_T_15_seed_1</t>
  </si>
  <si>
    <t xml:space="preserve">IB_B1692_D3333_F3_L8_T_15_seed_2</t>
  </si>
  <si>
    <t xml:space="preserve">IB_B1639_D3333_F3_L8_T_15_seed_3</t>
  </si>
  <si>
    <t xml:space="preserve">IB_B1761_D3333_F3_L8_T_15_seed_4</t>
  </si>
  <si>
    <t xml:space="preserve">IB_B518_D1000_F3_L12_T_15_seed_0</t>
  </si>
  <si>
    <t xml:space="preserve">IB_B547_D1000_F3_L12_T_15_seed_1</t>
  </si>
  <si>
    <t xml:space="preserve">IB_B522_D1000_F3_L12_T_15_seed_2</t>
  </si>
  <si>
    <t xml:space="preserve">17.25</t>
  </si>
  <si>
    <t xml:space="preserve">IB_B505_D1000_F3_L12_T_15_seed_3</t>
  </si>
  <si>
    <t xml:space="preserve">IB_B550_D1000_F3_L12_T_15_seed_4</t>
  </si>
  <si>
    <t xml:space="preserve">IB_B866_D1666_F3_L12_T_15_seed_0</t>
  </si>
  <si>
    <t xml:space="preserve">IB_B914_D1666_F3_L12_T_15_seed_1</t>
  </si>
  <si>
    <t xml:space="preserve">IB_B871_D1666_F3_L12_T_15_seed_2</t>
  </si>
  <si>
    <t xml:space="preserve">17.17</t>
  </si>
  <si>
    <t xml:space="preserve">IB_B843_D1666_F3_L12_T_15_seed_3</t>
  </si>
  <si>
    <t xml:space="preserve">IB_B918_D1666_F3_L12_T_15_seed_4</t>
  </si>
  <si>
    <t xml:space="preserve">IB_B1213_D2333_F3_L12_T_15_seed_0</t>
  </si>
  <si>
    <t xml:space="preserve">IB_B1281_D2333_F3_L12_T_15_seed_1</t>
  </si>
  <si>
    <t xml:space="preserve">IB_B1221_D2333_F3_L12_T_15_seed_2</t>
  </si>
  <si>
    <t xml:space="preserve">17.36</t>
  </si>
  <si>
    <t xml:space="preserve">IB_B1182_D2333_F3_L12_T_15_seed_3</t>
  </si>
  <si>
    <t xml:space="preserve">IB_B1287_D2333_F3_L12_T_15_seed_4</t>
  </si>
  <si>
    <t xml:space="preserve">IB_B1735_D3333_F3_L12_T_15_seed_0</t>
  </si>
  <si>
    <t xml:space="preserve">IB_B1833_D3333_F3_L12_T_15_seed_1</t>
  </si>
  <si>
    <t xml:space="preserve">IB_B1747_D3333_F3_L12_T_15_seed_2</t>
  </si>
  <si>
    <t xml:space="preserve">IB_B1692_D3333_F3_L12_T_15_seed_3</t>
  </si>
  <si>
    <t xml:space="preserve">IB_B1841_D3333_F3_L12_T_15_seed_4</t>
  </si>
  <si>
    <t xml:space="preserve">IB_B1224_D500_F6_L4_T_5_seed_0</t>
  </si>
  <si>
    <t xml:space="preserve">IB_B1321_D500_F6_L4_T_5_seed_1</t>
  </si>
  <si>
    <t xml:space="preserve">IB_B1313_D500_F6_L4_T_5_seed_2</t>
  </si>
  <si>
    <t xml:space="preserve">IB_B1302_D500_F6_L4_T_5_seed_3</t>
  </si>
  <si>
    <t xml:space="preserve">IB_B1397_D500_F6_L4_T_5_seed_4</t>
  </si>
  <si>
    <t xml:space="preserve">IB_B2043_D833_F6_L4_T_5_seed_0</t>
  </si>
  <si>
    <t xml:space="preserve">IB_B2201_D833_F6_L4_T_5_seed_1</t>
  </si>
  <si>
    <t xml:space="preserve">IB_B2191_D833_F6_L4_T_5_seed_2</t>
  </si>
  <si>
    <t xml:space="preserve">IB_B2171_D833_F6_L4_T_5_seed_3</t>
  </si>
  <si>
    <t xml:space="preserve">IB_B2330_D833_F6_L4_T_5_seed_4</t>
  </si>
  <si>
    <t xml:space="preserve">IB_B2861_D1166_F6_L4_T_5_seed_0</t>
  </si>
  <si>
    <t xml:space="preserve">IB_B3082_D1166_F6_L4_T_5_seed_1</t>
  </si>
  <si>
    <t xml:space="preserve">IB_B3068_D1166_F6_L4_T_5_seed_2</t>
  </si>
  <si>
    <t xml:space="preserve">IB_B3040_D1166_F6_L4_T_5_seed_3</t>
  </si>
  <si>
    <t xml:space="preserve">IB_B3262_D1166_F6_L4_T_5_seed_4</t>
  </si>
  <si>
    <t xml:space="preserve">IB_B4090_D1666_F6_L4_T_5_seed_0</t>
  </si>
  <si>
    <t xml:space="preserve">IB_B4407_D1666_F6_L4_T_5_seed_1</t>
  </si>
  <si>
    <t xml:space="preserve">IB_B4386_D1666_F6_L4_T_5_seed_2</t>
  </si>
  <si>
    <t xml:space="preserve">IB_B4346_D1666_F6_L4_T_5_seed_3</t>
  </si>
  <si>
    <t xml:space="preserve">IB_B4664_D1666_F6_L4_T_5_seed_4</t>
  </si>
  <si>
    <t xml:space="preserve">IB_B1413_D500_F6_L8_T_5_seed_0</t>
  </si>
  <si>
    <t xml:space="preserve">IB_B1559_D500_F6_L8_T_5_seed_1</t>
  </si>
  <si>
    <t xml:space="preserve">IB_B1456_D500_F6_L8_T_5_seed_2</t>
  </si>
  <si>
    <t xml:space="preserve">IB_B1449_D500_F6_L8_T_5_seed_3</t>
  </si>
  <si>
    <t xml:space="preserve">IB_B1552_D500_F6_L8_T_5_seed_4</t>
  </si>
  <si>
    <t xml:space="preserve">IB_B2357_D833_F6_L8_T_5_seed_0</t>
  </si>
  <si>
    <t xml:space="preserve">IB_B2600_D833_F6_L8_T_5_seed_1</t>
  </si>
  <si>
    <t xml:space="preserve">IB_B2428_D833_F6_L8_T_5_seed_2</t>
  </si>
  <si>
    <t xml:space="preserve">IB_B2417_D833_F6_L8_T_5_seed_3</t>
  </si>
  <si>
    <t xml:space="preserve">2.71</t>
  </si>
  <si>
    <t xml:space="preserve">IB_B2587_D833_F6_L8_T_5_seed_4</t>
  </si>
  <si>
    <t xml:space="preserve">IB_B3300_D1166_F6_L8_T_5_seed_0</t>
  </si>
  <si>
    <t xml:space="preserve">IB_B3640_D1166_F6_L8_T_5_seed_1</t>
  </si>
  <si>
    <t xml:space="preserve">IB_B3400_D1166_F6_L8_T_5_seed_2</t>
  </si>
  <si>
    <t xml:space="preserve">IB_B3384_D1166_F6_L8_T_5_seed_3</t>
  </si>
  <si>
    <t xml:space="preserve">6.53</t>
  </si>
  <si>
    <t xml:space="preserve">IB_B3623_D1166_F6_L8_T_5_seed_4</t>
  </si>
  <si>
    <t xml:space="preserve">IB_B4717_D1666_F6_L8_T_5_seed_0</t>
  </si>
  <si>
    <t xml:space="preserve">IB_B5203_D1666_F6_L8_T_5_seed_1</t>
  </si>
  <si>
    <t xml:space="preserve">IB_B4860_D1666_F6_L8_T_5_seed_2</t>
  </si>
  <si>
    <t xml:space="preserve">IB_B4839_D1666_F6_L8_T_5_seed_3</t>
  </si>
  <si>
    <t xml:space="preserve">23.31</t>
  </si>
  <si>
    <t xml:space="preserve">IB_B5179_D1666_F6_L8_T_5_seed_4</t>
  </si>
  <si>
    <t xml:space="preserve">IB_B1581_D500_F6_L12_T_5_seed_0</t>
  </si>
  <si>
    <t xml:space="preserve">IB_B1588_D500_F6_L12_T_5_seed_1</t>
  </si>
  <si>
    <t xml:space="preserve">IB_B1566_D500_F6_L12_T_5_seed_2</t>
  </si>
  <si>
    <t xml:space="preserve">IB_B1562_D500_F6_L12_T_5_seed_3</t>
  </si>
  <si>
    <t xml:space="preserve">23.99</t>
  </si>
  <si>
    <t xml:space="preserve">IB_B1629_D500_F6_L12_T_5_seed_4</t>
  </si>
  <si>
    <t xml:space="preserve">IB_B2638_D833_F6_L12_T_5_seed_0</t>
  </si>
  <si>
    <t xml:space="preserve">IB_B2648_D833_F6_L12_T_5_seed_1</t>
  </si>
  <si>
    <t xml:space="preserve">IB_B2610_D833_F6_L12_T_5_seed_2</t>
  </si>
  <si>
    <t xml:space="preserve">IB_B2605_D833_F6_L12_T_5_seed_3</t>
  </si>
  <si>
    <t xml:space="preserve">20.5</t>
  </si>
  <si>
    <t xml:space="preserve">IB_B2716_D833_F6_L12_T_5_seed_4</t>
  </si>
  <si>
    <t xml:space="preserve">IB_B3693_D1166_F6_L12_T_5_seed_0</t>
  </si>
  <si>
    <t xml:space="preserve">IB_B3708_D1166_F6_L12_T_5_seed_1</t>
  </si>
  <si>
    <t xml:space="preserve">IB_B3655_D1166_F6_L12_T_5_seed_2</t>
  </si>
  <si>
    <t xml:space="preserve">IB_B3648_D1166_F6_L12_T_5_seed_3</t>
  </si>
  <si>
    <t xml:space="preserve">8.49</t>
  </si>
  <si>
    <t xml:space="preserve">IB_B3802_D1166_F6_L12_T_5_seed_4</t>
  </si>
  <si>
    <t xml:space="preserve">IB_B5280_D1666_F6_L12_T_5_seed_0</t>
  </si>
  <si>
    <t xml:space="preserve">IB_B5301_D1666_F6_L12_T_5_seed_1</t>
  </si>
  <si>
    <t xml:space="preserve">IB_B5225_D1666_F6_L12_T_5_seed_2</t>
  </si>
  <si>
    <t xml:space="preserve">IB_B5214_D1666_F6_L12_T_5_seed_3</t>
  </si>
  <si>
    <t xml:space="preserve">21.47</t>
  </si>
  <si>
    <t xml:space="preserve">IB_B5436_D1666_F6_L12_T_5_seed_4</t>
  </si>
  <si>
    <t xml:space="preserve">IB_B624_D500_F6_L4_T_10_seed_0</t>
  </si>
  <si>
    <t xml:space="preserve">IB_B676_D500_F6_L4_T_10_seed_1</t>
  </si>
  <si>
    <t xml:space="preserve">IB_B666_D500_F6_L4_T_10_seed_2</t>
  </si>
  <si>
    <t xml:space="preserve">IB_B637_D500_F6_L4_T_10_seed_3</t>
  </si>
  <si>
    <t xml:space="preserve">IB_B685_D500_F6_L4_T_10_seed_4</t>
  </si>
  <si>
    <t xml:space="preserve">IB_B1041_D833_F6_L4_T_10_seed_0</t>
  </si>
  <si>
    <t xml:space="preserve">IB_B1126_D833_F6_L4_T_10_seed_1</t>
  </si>
  <si>
    <t xml:space="preserve">IB_B1108_D833_F6_L4_T_10_seed_2</t>
  </si>
  <si>
    <t xml:space="preserve">IB_B1061_D833_F6_L4_T_10_seed_3</t>
  </si>
  <si>
    <t xml:space="preserve">IB_B1141_D833_F6_L4_T_10_seed_4</t>
  </si>
  <si>
    <t xml:space="preserve">IB_B1460_D1166_F6_L4_T_10_seed_0</t>
  </si>
  <si>
    <t xml:space="preserve">IB_B1581_D1166_F6_L4_T_10_seed_1</t>
  </si>
  <si>
    <t xml:space="preserve">IB_B1556_D1166_F6_L4_T_10_seed_2</t>
  </si>
  <si>
    <t xml:space="preserve">IB_B1489_D1166_F6_L4_T_10_seed_3</t>
  </si>
  <si>
    <t xml:space="preserve">IB_B1602_D1166_F6_L4_T_10_seed_4</t>
  </si>
  <si>
    <t xml:space="preserve">IB_B2088_D1666_F6_L4_T_10_seed_0</t>
  </si>
  <si>
    <t xml:space="preserve">IB_B2262_D1666_F6_L4_T_10_seed_1</t>
  </si>
  <si>
    <t xml:space="preserve">IB_B2225_D1666_F6_L4_T_10_seed_2</t>
  </si>
  <si>
    <t xml:space="preserve">IB_B2130_D1666_F6_L4_T_10_seed_3</t>
  </si>
  <si>
    <t xml:space="preserve">IB_B2291_D1666_F6_L4_T_10_seed_4</t>
  </si>
  <si>
    <t xml:space="preserve">IB_B743_D500_F6_L8_T_10_seed_0</t>
  </si>
  <si>
    <t xml:space="preserve">IB_B781_D500_F6_L8_T_10_seed_1</t>
  </si>
  <si>
    <t xml:space="preserve">IB_B729_D500_F6_L8_T_10_seed_2</t>
  </si>
  <si>
    <t xml:space="preserve">IB_B710_D500_F6_L8_T_10_seed_3</t>
  </si>
  <si>
    <t xml:space="preserve">20.05</t>
  </si>
  <si>
    <t xml:space="preserve">IB_B758_D500_F6_L8_T_10_seed_4</t>
  </si>
  <si>
    <t xml:space="preserve">IB_B1239_D833_F6_L8_T_10_seed_0</t>
  </si>
  <si>
    <t xml:space="preserve">IB_B1300_D833_F6_L8_T_10_seed_1</t>
  </si>
  <si>
    <t xml:space="preserve">IB_B1215_D833_F6_L8_T_10_seed_2</t>
  </si>
  <si>
    <t xml:space="preserve">IB_B1181_D833_F6_L8_T_10_seed_3</t>
  </si>
  <si>
    <t xml:space="preserve">IB_B1262_D833_F6_L8_T_10_seed_4</t>
  </si>
  <si>
    <t xml:space="preserve">IB_B1738_D1166_F6_L8_T_10_seed_0</t>
  </si>
  <si>
    <t xml:space="preserve">IB_B1825_D1166_F6_L8_T_10_seed_1</t>
  </si>
  <si>
    <t xml:space="preserve">IB_B1706_D1166_F6_L8_T_10_seed_2</t>
  </si>
  <si>
    <t xml:space="preserve">IB_B1659_D1166_F6_L8_T_10_seed_3</t>
  </si>
  <si>
    <t xml:space="preserve">4.76</t>
  </si>
  <si>
    <t xml:space="preserve">IB_B1771_D1166_F6_L8_T_10_seed_4</t>
  </si>
  <si>
    <t xml:space="preserve">IB_B2486_D1666_F6_L8_T_10_seed_0</t>
  </si>
  <si>
    <t xml:space="preserve">IB_B2610_D1666_F6_L8_T_10_seed_1</t>
  </si>
  <si>
    <t xml:space="preserve">IB_B2440_D1666_F6_L8_T_10_seed_2</t>
  </si>
  <si>
    <t xml:space="preserve">IB_B2373_D1666_F6_L8_T_10_seed_3</t>
  </si>
  <si>
    <t xml:space="preserve">21.0</t>
  </si>
  <si>
    <t xml:space="preserve">IB_B2532_D1666_F6_L8_T_10_seed_4</t>
  </si>
  <si>
    <t xml:space="preserve">IB_B792_D500_F6_L12_T_10_seed_0</t>
  </si>
  <si>
    <t xml:space="preserve">IB_B793_D500_F6_L12_T_10_seed_1</t>
  </si>
  <si>
    <t xml:space="preserve">IB_B774_D500_F6_L12_T_10_seed_2</t>
  </si>
  <si>
    <t xml:space="preserve">IB_B782_D500_F6_L12_T_10_seed_3</t>
  </si>
  <si>
    <t xml:space="preserve">19.29</t>
  </si>
  <si>
    <t xml:space="preserve">IB_B818_D500_F6_L12_T_10_seed_4</t>
  </si>
  <si>
    <t xml:space="preserve">IB_B1319_D833_F6_L12_T_10_seed_0</t>
  </si>
  <si>
    <t xml:space="preserve">IB_B1320_D833_F6_L12_T_10_seed_1</t>
  </si>
  <si>
    <t xml:space="preserve">IB_B1290_D833_F6_L12_T_10_seed_2</t>
  </si>
  <si>
    <t xml:space="preserve">IB_B1303_D833_F6_L12_T_10_seed_3</t>
  </si>
  <si>
    <t xml:space="preserve">IB_B1362_D833_F6_L12_T_10_seed_4</t>
  </si>
  <si>
    <t xml:space="preserve">IB_B1851_D1166_F6_L12_T_10_seed_0</t>
  </si>
  <si>
    <t xml:space="preserve">IB_B1852_D1166_F6_L12_T_10_seed_1</t>
  </si>
  <si>
    <t xml:space="preserve">IB_B1810_D1166_F6_L12_T_10_seed_2</t>
  </si>
  <si>
    <t xml:space="preserve">IB_B1830_D1166_F6_L12_T_10_seed_3</t>
  </si>
  <si>
    <t xml:space="preserve">IB_B1913_D1166_F6_L12_T_10_seed_4</t>
  </si>
  <si>
    <t xml:space="preserve">IB_B2648_D1666_F6_L12_T_10_seed_0</t>
  </si>
  <si>
    <t xml:space="preserve">IB_B2650_D1666_F6_L12_T_10_seed_1</t>
  </si>
  <si>
    <t xml:space="preserve">IB_B2589_D1666_F6_L12_T_10_seed_2</t>
  </si>
  <si>
    <t xml:space="preserve">IB_B2616_D1666_F6_L12_T_10_seed_3</t>
  </si>
  <si>
    <t xml:space="preserve">13.8</t>
  </si>
  <si>
    <t xml:space="preserve">IB_B2736_D1666_F6_L12_T_10_seed_4</t>
  </si>
  <si>
    <t xml:space="preserve">IB_B402_D500_F6_L4_T_15_seed_0</t>
  </si>
  <si>
    <t xml:space="preserve">IB_B434_D500_F6_L4_T_15_seed_1</t>
  </si>
  <si>
    <t xml:space="preserve">IB_B430_D500_F6_L4_T_15_seed_2</t>
  </si>
  <si>
    <t xml:space="preserve">IB_B415_D500_F6_L4_T_15_seed_3</t>
  </si>
  <si>
    <t xml:space="preserve">IB_B462_D500_F6_L4_T_15_seed_4</t>
  </si>
  <si>
    <t xml:space="preserve">IB_B675_D833_F6_L4_T_15_seed_0</t>
  </si>
  <si>
    <t xml:space="preserve">IB_B729_D833_F6_L4_T_15_seed_1</t>
  </si>
  <si>
    <t xml:space="preserve">IB_B721_D833_F6_L4_T_15_seed_2</t>
  </si>
  <si>
    <t xml:space="preserve">IB_B695_D833_F6_L4_T_15_seed_3</t>
  </si>
  <si>
    <t xml:space="preserve">IB_B776_D833_F6_L4_T_15_seed_4</t>
  </si>
  <si>
    <t xml:space="preserve">IB_B945_D1166_F6_L4_T_15_seed_0</t>
  </si>
  <si>
    <t xml:space="preserve">IB_B1023_D1166_F6_L4_T_15_seed_1</t>
  </si>
  <si>
    <t xml:space="preserve">IB_B1011_D1166_F6_L4_T_15_seed_2</t>
  </si>
  <si>
    <t xml:space="preserve">IB_B975_D1166_F6_L4_T_15_seed_3</t>
  </si>
  <si>
    <t xml:space="preserve">IB_B1090_D1166_F6_L4_T_15_seed_4</t>
  </si>
  <si>
    <t xml:space="preserve">IB_B1354_D1666_F6_L4_T_15_seed_0</t>
  </si>
  <si>
    <t xml:space="preserve">IB_B1464_D1666_F6_L4_T_15_seed_1</t>
  </si>
  <si>
    <t xml:space="preserve">IB_B1448_D1666_F6_L4_T_15_seed_2</t>
  </si>
  <si>
    <t xml:space="preserve">IB_B1397_D1666_F6_L4_T_15_seed_3</t>
  </si>
  <si>
    <t xml:space="preserve">IB_B1558_D1666_F6_L4_T_15_seed_4</t>
  </si>
  <si>
    <t xml:space="preserve">IB_B467_D500_F6_L8_T_15_seed_0</t>
  </si>
  <si>
    <t xml:space="preserve">IB_B510_D500_F6_L8_T_15_seed_1</t>
  </si>
  <si>
    <t xml:space="preserve">IB_B472_D500_F6_L8_T_15_seed_2</t>
  </si>
  <si>
    <t xml:space="preserve">IB_B474_D500_F6_L8_T_15_seed_3</t>
  </si>
  <si>
    <t xml:space="preserve">4.12</t>
  </si>
  <si>
    <t xml:space="preserve">IB_B515_D500_F6_L8_T_15_seed_4</t>
  </si>
  <si>
    <t xml:space="preserve">IB_B783_D833_F6_L8_T_15_seed_0</t>
  </si>
  <si>
    <t xml:space="preserve">IB_B855_D833_F6_L8_T_15_seed_1</t>
  </si>
  <si>
    <t xml:space="preserve">IB_B790_D833_F6_L8_T_15_seed_2</t>
  </si>
  <si>
    <t xml:space="preserve">IB_B794_D833_F6_L8_T_15_seed_3</t>
  </si>
  <si>
    <t xml:space="preserve">IB_B864_D833_F6_L8_T_15_seed_4</t>
  </si>
  <si>
    <t xml:space="preserve">IB_B1098_D1166_F6_L8_T_15_seed_0</t>
  </si>
  <si>
    <t xml:space="preserve">IB_B1200_D1166_F6_L8_T_15_seed_1</t>
  </si>
  <si>
    <t xml:space="preserve">IB_B1109_D1166_F6_L8_T_15_seed_2</t>
  </si>
  <si>
    <t xml:space="preserve">IB_B1115_D1166_F6_L8_T_15_seed_3</t>
  </si>
  <si>
    <t xml:space="preserve">IB_B1214_D1166_F6_L8_T_15_seed_4</t>
  </si>
  <si>
    <t xml:space="preserve">IB_B1573_D1666_F6_L8_T_15_seed_0</t>
  </si>
  <si>
    <t xml:space="preserve">IB_B1717_D1666_F6_L8_T_15_seed_1</t>
  </si>
  <si>
    <t xml:space="preserve">IB_B1588_D1666_F6_L8_T_15_seed_2</t>
  </si>
  <si>
    <t xml:space="preserve">IB_B1597_D1666_F6_L8_T_15_seed_3</t>
  </si>
  <si>
    <t xml:space="preserve">17.91</t>
  </si>
  <si>
    <t xml:space="preserve">IB_B1736_D1666_F6_L8_T_15_seed_4</t>
  </si>
  <si>
    <t xml:space="preserve">IB_B507_D500_F6_L12_T_15_seed_0</t>
  </si>
  <si>
    <t xml:space="preserve">IB_B530_D500_F6_L12_T_15_seed_1</t>
  </si>
  <si>
    <t xml:space="preserve">3.41</t>
  </si>
  <si>
    <t xml:space="preserve">IB_B507_D500_F6_L12_T_15_seed_2</t>
  </si>
  <si>
    <t xml:space="preserve">IB_B511_D500_F6_L12_T_15_seed_3</t>
  </si>
  <si>
    <t xml:space="preserve">IB_B549_D500_F6_L12_T_15_seed_4</t>
  </si>
  <si>
    <t xml:space="preserve">IB_B850_D833_F6_L12_T_15_seed_0</t>
  </si>
  <si>
    <t xml:space="preserve">IB_B889_D833_F6_L12_T_15_seed_1</t>
  </si>
  <si>
    <t xml:space="preserve">28.48</t>
  </si>
  <si>
    <t xml:space="preserve">IB_B850_D833_F6_L12_T_15_seed_2</t>
  </si>
  <si>
    <t xml:space="preserve">IB_B855_D833_F6_L12_T_15_seed_3</t>
  </si>
  <si>
    <t xml:space="preserve">IB_B920_D833_F6_L12_T_15_seed_4</t>
  </si>
  <si>
    <t xml:space="preserve">IB_B1193_D1166_F6_L12_T_15_seed_0</t>
  </si>
  <si>
    <t xml:space="preserve">IB_B1247_D1166_F6_L12_T_15_seed_1</t>
  </si>
  <si>
    <t xml:space="preserve">19.31</t>
  </si>
  <si>
    <t xml:space="preserve">IB_B1194_D1166_F6_L12_T_15_seed_2</t>
  </si>
  <si>
    <t xml:space="preserve">IB_B1201_D1166_F6_L12_T_15_seed_3</t>
  </si>
  <si>
    <t xml:space="preserve">IB_B1292_D1166_F6_L12_T_15_seed_4</t>
  </si>
  <si>
    <t xml:space="preserve">IB_B1707_D1666_F6_L12_T_15_seed_0</t>
  </si>
  <si>
    <t xml:space="preserve">IB_B1784_D1666_F6_L12_T_15_seed_1</t>
  </si>
  <si>
    <t xml:space="preserve">5.51</t>
  </si>
  <si>
    <t xml:space="preserve">IB_B1709_D1666_F6_L12_T_15_seed_2</t>
  </si>
  <si>
    <t xml:space="preserve">IB_B1719_D1666_F6_L12_T_15_seed_3</t>
  </si>
  <si>
    <t xml:space="preserve">IB_B1848_D1666_F6_L12_T_15_seed_4</t>
  </si>
  <si>
    <t xml:space="preserve">IB_B1252_D333_F9_L4_T_5_seed_0</t>
  </si>
  <si>
    <t xml:space="preserve">IB_B1362_D333_F9_L4_T_5_seed_1</t>
  </si>
  <si>
    <t xml:space="preserve">IB_B1304_D333_F9_L4_T_5_seed_2</t>
  </si>
  <si>
    <t xml:space="preserve">IB_B1217_D333_F9_L4_T_5_seed_3</t>
  </si>
  <si>
    <t xml:space="preserve">IB_B1321_D333_F9_L4_T_5_seed_4</t>
  </si>
  <si>
    <t xml:space="preserve">IB_B2092_D555_F9_L4_T_5_seed_0</t>
  </si>
  <si>
    <t xml:space="preserve">IB_B2275_D555_F9_L4_T_5_seed_1</t>
  </si>
  <si>
    <t xml:space="preserve">IB_B2178_D555_F9_L4_T_5_seed_2</t>
  </si>
  <si>
    <t xml:space="preserve">IB_B2031_D555_F9_L4_T_5_seed_3</t>
  </si>
  <si>
    <t xml:space="preserve">IB_B2205_D555_F9_L4_T_5_seed_4</t>
  </si>
  <si>
    <t xml:space="preserve">IB_B2929_D777_F9_L4_T_5_seed_0</t>
  </si>
  <si>
    <t xml:space="preserve">IB_B3188_D777_F9_L4_T_5_seed_1</t>
  </si>
  <si>
    <t xml:space="preserve">IB_B3053_D777_F9_L4_T_5_seed_2</t>
  </si>
  <si>
    <t xml:space="preserve">IB_B2848_D777_F9_L4_T_5_seed_3</t>
  </si>
  <si>
    <t xml:space="preserve">IB_B3091_D777_F9_L4_T_5_seed_4</t>
  </si>
  <si>
    <t xml:space="preserve">IB_B4192_D1111_F9_L4_T_5_seed_0</t>
  </si>
  <si>
    <t xml:space="preserve">13.29</t>
  </si>
  <si>
    <t xml:space="preserve">IB_B4560_D1111_F9_L4_T_5_seed_1</t>
  </si>
  <si>
    <t xml:space="preserve">IB_B4366_D1111_F9_L4_T_5_seed_2</t>
  </si>
  <si>
    <t xml:space="preserve">IB_B4073_D1111_F9_L4_T_5_seed_3</t>
  </si>
  <si>
    <t xml:space="preserve">IB_B4422_D1111_F9_L4_T_5_seed_4</t>
  </si>
  <si>
    <t xml:space="preserve">IB_B1493_D333_F9_L8_T_5_seed_0</t>
  </si>
  <si>
    <t xml:space="preserve">IB_B1533_D333_F9_L8_T_5_seed_1</t>
  </si>
  <si>
    <t xml:space="preserve">IB_B1462_D333_F9_L8_T_5_seed_2</t>
  </si>
  <si>
    <t xml:space="preserve">IB_B1478_D333_F9_L8_T_5_seed_3</t>
  </si>
  <si>
    <t xml:space="preserve">IB_B1509_D333_F9_L8_T_5_seed_4</t>
  </si>
  <si>
    <t xml:space="preserve">IB_B2491_D555_F9_L8_T_5_seed_0</t>
  </si>
  <si>
    <t xml:space="preserve">IB_B2558_D555_F9_L8_T_5_seed_1</t>
  </si>
  <si>
    <t xml:space="preserve">IB_B2441_D555_F9_L8_T_5_seed_2</t>
  </si>
  <si>
    <t xml:space="preserve">IB_B2466_D555_F9_L8_T_5_seed_3</t>
  </si>
  <si>
    <t xml:space="preserve">14.38</t>
  </si>
  <si>
    <t xml:space="preserve">IB_B2517_D555_F9_L8_T_5_seed_4</t>
  </si>
  <si>
    <t xml:space="preserve">0.54</t>
  </si>
  <si>
    <t xml:space="preserve">IB_B3492_D777_F9_L8_T_5_seed_0</t>
  </si>
  <si>
    <t xml:space="preserve">IB_B3585_D777_F9_L8_T_5_seed_1</t>
  </si>
  <si>
    <t xml:space="preserve">IB_B3422_D777_F9_L8_T_5_seed_2</t>
  </si>
  <si>
    <t xml:space="preserve">IB_B3457_D777_F9_L8_T_5_seed_3</t>
  </si>
  <si>
    <t xml:space="preserve">12.58</t>
  </si>
  <si>
    <t xml:space="preserve">IB_B3528_D777_F9_L8_T_5_seed_4</t>
  </si>
  <si>
    <t xml:space="preserve">IB_B4996_D1111_F9_L8_T_5_seed_0</t>
  </si>
  <si>
    <t xml:space="preserve">IB_B5128_D1111_F9_L8_T_5_seed_1</t>
  </si>
  <si>
    <t xml:space="preserve">IB_B4896_D1111_F9_L8_T_5_seed_2</t>
  </si>
  <si>
    <t xml:space="preserve">IB_B4946_D1111_F9_L8_T_5_seed_3</t>
  </si>
  <si>
    <t xml:space="preserve">6.74</t>
  </si>
  <si>
    <t xml:space="preserve">IB_B5047_D1111_F9_L8_T_5_seed_4</t>
  </si>
  <si>
    <t xml:space="preserve">IB_B1521_D333_F9_L12_T_5_seed_0</t>
  </si>
  <si>
    <t xml:space="preserve">IB_B1626_D333_F9_L12_T_5_seed_1</t>
  </si>
  <si>
    <t xml:space="preserve">IB_B1579_D333_F9_L12_T_5_seed_2</t>
  </si>
  <si>
    <t xml:space="preserve">IB_B1561_D333_F9_L12_T_5_seed_3</t>
  </si>
  <si>
    <t xml:space="preserve">3.54</t>
  </si>
  <si>
    <t xml:space="preserve">IB_B1623_D333_F9_L12_T_5_seed_4</t>
  </si>
  <si>
    <t xml:space="preserve">IB_B2539_D555_F9_L12_T_5_seed_0</t>
  </si>
  <si>
    <t xml:space="preserve">IB_B2713_D555_F9_L12_T_5_seed_1</t>
  </si>
  <si>
    <t xml:space="preserve">IB_B2635_D555_F9_L12_T_5_seed_2</t>
  </si>
  <si>
    <t xml:space="preserve">IB_B2605_D555_F9_L12_T_5_seed_3</t>
  </si>
  <si>
    <t xml:space="preserve">19.5</t>
  </si>
  <si>
    <t xml:space="preserve">IB_B2708_D555_F9_L12_T_5_seed_4</t>
  </si>
  <si>
    <t xml:space="preserve">IB_B3558_D777_F9_L12_T_5_seed_0</t>
  </si>
  <si>
    <t xml:space="preserve">IB_B3804_D777_F9_L12_T_5_seed_1</t>
  </si>
  <si>
    <t xml:space="preserve">IB_B3693_D777_F9_L12_T_5_seed_2</t>
  </si>
  <si>
    <t xml:space="preserve">IB_B3653_D777_F9_L12_T_5_seed_3</t>
  </si>
  <si>
    <t xml:space="preserve">IB_B3798_D777_F9_L12_T_5_seed_4</t>
  </si>
  <si>
    <t xml:space="preserve">IB_B5090_D1111_F9_L12_T_5_seed_0</t>
  </si>
  <si>
    <t xml:space="preserve">IB_B5441_D1111_F9_L12_T_5_seed_1</t>
  </si>
  <si>
    <t xml:space="preserve">IB_B5284_D1111_F9_L12_T_5_seed_2</t>
  </si>
  <si>
    <t xml:space="preserve">IB_B5225_D1111_F9_L12_T_5_seed_3</t>
  </si>
  <si>
    <t xml:space="preserve">IB_B5432_D1111_F9_L12_T_5_seed_4</t>
  </si>
  <si>
    <t xml:space="preserve">IB_B602_D333_F9_L4_T_10_seed_0</t>
  </si>
  <si>
    <t xml:space="preserve">70.41</t>
  </si>
  <si>
    <t xml:space="preserve">IB_B672_D333_F9_L4_T_10_seed_1</t>
  </si>
  <si>
    <t xml:space="preserve">IB_B626_D333_F9_L4_T_10_seed_2</t>
  </si>
  <si>
    <t xml:space="preserve">21.87</t>
  </si>
  <si>
    <t xml:space="preserve">IB_B617_D333_F9_L4_T_10_seed_3</t>
  </si>
  <si>
    <t xml:space="preserve">IB_B659_D333_F9_L4_T_10_seed_4</t>
  </si>
  <si>
    <t xml:space="preserve">IB_B1008_D555_F9_L4_T_10_seed_0</t>
  </si>
  <si>
    <t xml:space="preserve">21.9</t>
  </si>
  <si>
    <t xml:space="preserve">IB_B1127_D555_F9_L4_T_10_seed_1</t>
  </si>
  <si>
    <t xml:space="preserve">64.85</t>
  </si>
  <si>
    <t xml:space="preserve">IB_B1048_D555_F9_L4_T_10_seed_2</t>
  </si>
  <si>
    <t xml:space="preserve">IB_B1034_D555_F9_L4_T_10_seed_3</t>
  </si>
  <si>
    <t xml:space="preserve">IB_B1105_D555_F9_L4_T_10_seed_4</t>
  </si>
  <si>
    <t xml:space="preserve">IB_B1416_D777_F9_L4_T_10_seed_0</t>
  </si>
  <si>
    <t xml:space="preserve">33.54</t>
  </si>
  <si>
    <t xml:space="preserve">IB_B1581_D777_F9_L4_T_10_seed_1</t>
  </si>
  <si>
    <t xml:space="preserve">IB_B1470_D777_F9_L4_T_10_seed_2</t>
  </si>
  <si>
    <t xml:space="preserve">3.15</t>
  </si>
  <si>
    <t xml:space="preserve">IB_B1452_D777_F9_L4_T_10_seed_3</t>
  </si>
  <si>
    <t xml:space="preserve">IB_B1553_D777_F9_L4_T_10_seed_4</t>
  </si>
  <si>
    <t xml:space="preserve">IB_B2027_D1111_F9_L4_T_10_seed_0</t>
  </si>
  <si>
    <t xml:space="preserve">9.47</t>
  </si>
  <si>
    <t xml:space="preserve">IB_B2263_D1111_F9_L4_T_10_seed_1</t>
  </si>
  <si>
    <t xml:space="preserve">IB_B2104_D1111_F9_L4_T_10_seed_2</t>
  </si>
  <si>
    <t xml:space="preserve">43.03</t>
  </si>
  <si>
    <t xml:space="preserve">IB_B2078_D1111_F9_L4_T_10_seed_3</t>
  </si>
  <si>
    <t xml:space="preserve">IB_B2222_D1111_F9_L4_T_10_seed_4</t>
  </si>
  <si>
    <t xml:space="preserve">IB_B749_D333_F9_L8_T_10_seed_0</t>
  </si>
  <si>
    <t xml:space="preserve">IB_B768_D333_F9_L8_T_10_seed_1</t>
  </si>
  <si>
    <t xml:space="preserve">IB_B715_D333_F9_L8_T_10_seed_2</t>
  </si>
  <si>
    <t xml:space="preserve">IB_B733_D333_F9_L8_T_10_seed_3</t>
  </si>
  <si>
    <t xml:space="preserve">IB_B761_D333_F9_L8_T_10_seed_4</t>
  </si>
  <si>
    <t xml:space="preserve">IB_B1256_D555_F9_L8_T_10_seed_0</t>
  </si>
  <si>
    <t xml:space="preserve">0.57</t>
  </si>
  <si>
    <t xml:space="preserve">IB_B1287_D555_F9_L8_T_10_seed_1</t>
  </si>
  <si>
    <t xml:space="preserve">IB_B1198_D555_F9_L8_T_10_seed_2</t>
  </si>
  <si>
    <t xml:space="preserve">IB_B1228_D555_F9_L8_T_10_seed_3</t>
  </si>
  <si>
    <t xml:space="preserve">IB_B1275_D555_F9_L8_T_10_seed_4</t>
  </si>
  <si>
    <t xml:space="preserve">IB_B1762_D777_F9_L8_T_10_seed_0</t>
  </si>
  <si>
    <t xml:space="preserve">IB_B1806_D777_F9_L8_T_10_seed_1</t>
  </si>
  <si>
    <t xml:space="preserve">IB_B1681_D777_F9_L8_T_10_seed_2</t>
  </si>
  <si>
    <t xml:space="preserve">IB_B1724_D777_F9_L8_T_10_seed_3</t>
  </si>
  <si>
    <t xml:space="preserve">IB_B1790_D777_F9_L8_T_10_seed_4</t>
  </si>
  <si>
    <t xml:space="preserve">IB_B2521_D1111_F9_L8_T_10_seed_0</t>
  </si>
  <si>
    <t xml:space="preserve">0.41</t>
  </si>
  <si>
    <t xml:space="preserve">IB_B2585_D1111_F9_L8_T_10_seed_1</t>
  </si>
  <si>
    <t xml:space="preserve">IB_B2408_D1111_F9_L8_T_10_seed_2</t>
  </si>
  <si>
    <t xml:space="preserve">IB_B2468_D1111_F9_L8_T_10_seed_3</t>
  </si>
  <si>
    <t xml:space="preserve">IB_B2562_D1111_F9_L8_T_10_seed_4</t>
  </si>
  <si>
    <t xml:space="preserve">IB_B754_D333_F9_L12_T_10_seed_0</t>
  </si>
  <si>
    <t xml:space="preserve">IB_B812_D333_F9_L12_T_10_seed_1</t>
  </si>
  <si>
    <t xml:space="preserve">IB_B788_D333_F9_L12_T_10_seed_2</t>
  </si>
  <si>
    <t xml:space="preserve">IB_B764_D333_F9_L12_T_10_seed_3</t>
  </si>
  <si>
    <t xml:space="preserve">IB_B806_D333_F9_L12_T_10_seed_4</t>
  </si>
  <si>
    <t xml:space="preserve">IB_B1264_D555_F9_L12_T_10_seed_0</t>
  </si>
  <si>
    <t xml:space="preserve">IB_B1363_D555_F9_L12_T_10_seed_1</t>
  </si>
  <si>
    <t xml:space="preserve">IB_B1322_D555_F9_L12_T_10_seed_2</t>
  </si>
  <si>
    <t xml:space="preserve">IB_B1282_D555_F9_L12_T_10_seed_3</t>
  </si>
  <si>
    <t xml:space="preserve">IB_B1352_D555_F9_L12_T_10_seed_4</t>
  </si>
  <si>
    <t xml:space="preserve">IB_B1775_D777_F9_L12_T_10_seed_0</t>
  </si>
  <si>
    <t xml:space="preserve">IB_B1913_D777_F9_L12_T_10_seed_1</t>
  </si>
  <si>
    <t xml:space="preserve">IB_B1855_D777_F9_L12_T_10_seed_2</t>
  </si>
  <si>
    <t xml:space="preserve">IB_B1801_D777_F9_L12_T_10_seed_3</t>
  </si>
  <si>
    <t xml:space="preserve">IB_B1897_D777_F9_L12_T_10_seed_4</t>
  </si>
  <si>
    <t xml:space="preserve">IB_B2540_D1111_F9_L12_T_10_seed_0</t>
  </si>
  <si>
    <t xml:space="preserve">IB_B2736_D1111_F9_L12_T_10_seed_1</t>
  </si>
  <si>
    <t xml:space="preserve">IB_B2655_D1111_F9_L12_T_10_seed_2</t>
  </si>
  <si>
    <t xml:space="preserve">IB_B2577_D1111_F9_L12_T_10_seed_3</t>
  </si>
  <si>
    <t xml:space="preserve">IB_B2714_D1111_F9_L12_T_10_seed_4</t>
  </si>
  <si>
    <t xml:space="preserve">IB_B386_D333_F9_L4_T_15_seed_0</t>
  </si>
  <si>
    <t xml:space="preserve">25.56</t>
  </si>
  <si>
    <t xml:space="preserve">IB_B433_D333_F9_L4_T_15_seed_1</t>
  </si>
  <si>
    <t xml:space="preserve">IB_B427_D333_F9_L4_T_15_seed_2</t>
  </si>
  <si>
    <t xml:space="preserve">IB_B391_D333_F9_L4_T_15_seed_3</t>
  </si>
  <si>
    <t xml:space="preserve">IB_B436_D333_F9_L4_T_15_seed_4</t>
  </si>
  <si>
    <t xml:space="preserve">IB_B645_D555_F9_L4_T_15_seed_0</t>
  </si>
  <si>
    <t xml:space="preserve">IB_B726_D555_F9_L4_T_15_seed_1</t>
  </si>
  <si>
    <t xml:space="preserve">IB_B715_D555_F9_L4_T_15_seed_2</t>
  </si>
  <si>
    <t xml:space="preserve">IB_B652_D555_F9_L4_T_15_seed_3</t>
  </si>
  <si>
    <t xml:space="preserve">IB_B732_D555_F9_L4_T_15_seed_4</t>
  </si>
  <si>
    <t xml:space="preserve">15.6</t>
  </si>
  <si>
    <t xml:space="preserve">IB_B907_D777_F9_L4_T_15_seed_0</t>
  </si>
  <si>
    <t xml:space="preserve">IB_B1019_D777_F9_L4_T_15_seed_1</t>
  </si>
  <si>
    <t xml:space="preserve">IB_B1005_D777_F9_L4_T_15_seed_2</t>
  </si>
  <si>
    <t xml:space="preserve">IB_B917_D777_F9_L4_T_15_seed_3</t>
  </si>
  <si>
    <t xml:space="preserve">IB_B1026_D777_F9_L4_T_15_seed_4</t>
  </si>
  <si>
    <t xml:space="preserve">4.58</t>
  </si>
  <si>
    <t xml:space="preserve">IB_B1298_D1111_F9_L4_T_15_seed_0</t>
  </si>
  <si>
    <t xml:space="preserve">IB_B1462_D1111_F9_L4_T_15_seed_1</t>
  </si>
  <si>
    <t xml:space="preserve">IB_B1440_D1111_F9_L4_T_15_seed_2</t>
  </si>
  <si>
    <t xml:space="preserve">IB_B1314_D1111_F9_L4_T_15_seed_3</t>
  </si>
  <si>
    <t xml:space="preserve">IB_B1471_D1111_F9_L4_T_15_seed_4</t>
  </si>
  <si>
    <t xml:space="preserve">IB_B487_D333_F9_L8_T_15_seed_0</t>
  </si>
  <si>
    <t xml:space="preserve">IB_B513_D333_F9_L8_T_15_seed_1</t>
  </si>
  <si>
    <t xml:space="preserve">IB_B485_D333_F9_L8_T_15_seed_2</t>
  </si>
  <si>
    <t xml:space="preserve">IB_B488_D333_F9_L8_T_15_seed_3</t>
  </si>
  <si>
    <t xml:space="preserve">IB_B500_D333_F9_L8_T_15_seed_4</t>
  </si>
  <si>
    <t xml:space="preserve">IB_B815_D555_F9_L8_T_15_seed_0</t>
  </si>
  <si>
    <t xml:space="preserve">IB_B859_D555_F9_L8_T_15_seed_1</t>
  </si>
  <si>
    <t xml:space="preserve">IB_B812_D555_F9_L8_T_15_seed_2</t>
  </si>
  <si>
    <t xml:space="preserve">IB_B817_D555_F9_L8_T_15_seed_3</t>
  </si>
  <si>
    <t xml:space="preserve">7.93</t>
  </si>
  <si>
    <t xml:space="preserve">IB_B838_D555_F9_L8_T_15_seed_4</t>
  </si>
  <si>
    <t xml:space="preserve">IB_B1146_D777_F9_L8_T_15_seed_0</t>
  </si>
  <si>
    <t xml:space="preserve">IB_B1207_D777_F9_L8_T_15_seed_1</t>
  </si>
  <si>
    <t xml:space="preserve">IB_B1141_D777_F9_L8_T_15_seed_2</t>
  </si>
  <si>
    <t xml:space="preserve">IB_B1148_D777_F9_L8_T_15_seed_3</t>
  </si>
  <si>
    <t xml:space="preserve">19.39</t>
  </si>
  <si>
    <t xml:space="preserve">IB_B1177_D777_F9_L8_T_15_seed_4</t>
  </si>
  <si>
    <t xml:space="preserve">IB_B1641_D1111_F9_L8_T_15_seed_0</t>
  </si>
  <si>
    <t xml:space="preserve">IB_B1728_D1111_F9_L8_T_15_seed_1</t>
  </si>
  <si>
    <t xml:space="preserve">IB_B1635_D1111_F9_L8_T_15_seed_2</t>
  </si>
  <si>
    <t xml:space="preserve">IB_B1645_D1111_F9_L8_T_15_seed_3</t>
  </si>
  <si>
    <t xml:space="preserve">IB_B1688_D1111_F9_L8_T_15_seed_4</t>
  </si>
  <si>
    <t xml:space="preserve">IB_B505_D333_F9_L12_T_15_seed_0</t>
  </si>
  <si>
    <t xml:space="preserve">IB_B525_D333_F9_L12_T_15_seed_1</t>
  </si>
  <si>
    <t xml:space="preserve">78.09</t>
  </si>
  <si>
    <t xml:space="preserve">IB_B513_D333_F9_L12_T_15_seed_2</t>
  </si>
  <si>
    <t xml:space="preserve">IB_B509_D333_F9_L12_T_15_seed_3</t>
  </si>
  <si>
    <t xml:space="preserve">IB_B534_D333_F9_L12_T_15_seed_4</t>
  </si>
  <si>
    <t xml:space="preserve">IB_B844_D555_F9_L12_T_15_seed_0</t>
  </si>
  <si>
    <t xml:space="preserve">IB_B879_D555_F9_L12_T_15_seed_1</t>
  </si>
  <si>
    <t xml:space="preserve">IB_B860_D555_F9_L12_T_15_seed_2</t>
  </si>
  <si>
    <t xml:space="preserve">IB_B852_D555_F9_L12_T_15_seed_3</t>
  </si>
  <si>
    <t xml:space="preserve">IB_B895_D555_F9_L12_T_15_seed_4</t>
  </si>
  <si>
    <t xml:space="preserve">IB_B1187_D777_F9_L12_T_15_seed_0</t>
  </si>
  <si>
    <t xml:space="preserve">IB_B1235_D777_F9_L12_T_15_seed_1</t>
  </si>
  <si>
    <t xml:space="preserve">IB_B1207_D777_F9_L12_T_15_seed_2</t>
  </si>
  <si>
    <t xml:space="preserve">IB_B1198_D777_F9_L12_T_15_seed_3</t>
  </si>
  <si>
    <t xml:space="preserve">IB_B1256_D777_F9_L12_T_15_seed_4</t>
  </si>
  <si>
    <t xml:space="preserve">IB_B1700_D1111_F9_L12_T_15_seed_0</t>
  </si>
  <si>
    <t xml:space="preserve">IB_B1769_D1111_F9_L12_T_15_seed_1</t>
  </si>
  <si>
    <t xml:space="preserve">IB_B1729_D1111_F9_L12_T_15_seed_2</t>
  </si>
  <si>
    <t xml:space="preserve">IB_B1716_D1111_F9_L12_T_15_seed_3</t>
  </si>
  <si>
    <t xml:space="preserve">IB_B1802_D1111_F9_L12_T_15_seed_4</t>
  </si>
  <si>
    <t xml:space="preserve">IB_B1251_D250_F12_L4_T_5_seed_0</t>
  </si>
  <si>
    <t xml:space="preserve">IB_B1323_D250_F12_L4_T_5_seed_1</t>
  </si>
  <si>
    <t xml:space="preserve">IB_B1233_D250_F12_L4_T_5_seed_2</t>
  </si>
  <si>
    <t xml:space="preserve">IB_B1222_D250_F12_L4_T_5_seed_3</t>
  </si>
  <si>
    <t xml:space="preserve">IB_B1309_D250_F12_L4_T_5_seed_4</t>
  </si>
  <si>
    <t xml:space="preserve">7.75</t>
  </si>
  <si>
    <t xml:space="preserve">IB_B2086_D416_F12_L4_T_5_seed_0</t>
  </si>
  <si>
    <t xml:space="preserve">IB_B2204_D416_F12_L4_T_5_seed_1</t>
  </si>
  <si>
    <t xml:space="preserve">IB_B2057_D416_F12_L4_T_5_seed_2</t>
  </si>
  <si>
    <t xml:space="preserve">IB_B2034_D416_F12_L4_T_5_seed_3</t>
  </si>
  <si>
    <t xml:space="preserve">IB_B2181_D416_F12_L4_T_5_seed_4</t>
  </si>
  <si>
    <t xml:space="preserve">4.52</t>
  </si>
  <si>
    <t xml:space="preserve">IB_B2925_D583_F12_L4_T_5_seed_0</t>
  </si>
  <si>
    <t xml:space="preserve">IB_B3093_D583_F12_L4_T_5_seed_1</t>
  </si>
  <si>
    <t xml:space="preserve">IB_B2884_D583_F12_L4_T_5_seed_2</t>
  </si>
  <si>
    <t xml:space="preserve">IB_B2858_D583_F12_L4_T_5_seed_3</t>
  </si>
  <si>
    <t xml:space="preserve">IB_B3061_D583_F12_L4_T_5_seed_4</t>
  </si>
  <si>
    <t xml:space="preserve">8.08</t>
  </si>
  <si>
    <t xml:space="preserve">IB_B4184_D833_F12_L4_T_5_seed_0</t>
  </si>
  <si>
    <t xml:space="preserve">IB_B4425_D833_F12_L4_T_5_seed_1</t>
  </si>
  <si>
    <t xml:space="preserve">IB_B4127_D833_F12_L4_T_5_seed_2</t>
  </si>
  <si>
    <t xml:space="preserve">IB_B4088_D833_F12_L4_T_5_seed_3</t>
  </si>
  <si>
    <t xml:space="preserve">IB_B4377_D833_F12_L4_T_5_seed_4</t>
  </si>
  <si>
    <t xml:space="preserve">IB_B1479_D250_F12_L8_T_5_seed_0</t>
  </si>
  <si>
    <t xml:space="preserve">IB_B1549_D250_F12_L8_T_5_seed_1</t>
  </si>
  <si>
    <t xml:space="preserve">IB_B1475_D250_F12_L8_T_5_seed_2</t>
  </si>
  <si>
    <t xml:space="preserve">IB_B1482_D250_F12_L8_T_5_seed_3</t>
  </si>
  <si>
    <t xml:space="preserve">18.86</t>
  </si>
  <si>
    <t xml:space="preserve">IB_B1504_D250_F12_L8_T_5_seed_4</t>
  </si>
  <si>
    <t xml:space="preserve">IB_B2465_D416_F12_L8_T_5_seed_0</t>
  </si>
  <si>
    <t xml:space="preserve">IB_B2580_D416_F12_L8_T_5_seed_1</t>
  </si>
  <si>
    <t xml:space="preserve">IB_B2458_D416_F12_L8_T_5_seed_2</t>
  </si>
  <si>
    <t xml:space="preserve">IB_B2467_D416_F12_L8_T_5_seed_3</t>
  </si>
  <si>
    <t xml:space="preserve">19.57</t>
  </si>
  <si>
    <t xml:space="preserve">IB_B2508_D416_F12_L8_T_5_seed_4</t>
  </si>
  <si>
    <t xml:space="preserve">IB_B3459_D583_F12_L8_T_5_seed_0</t>
  </si>
  <si>
    <t xml:space="preserve">IB_B3624_D583_F12_L8_T_5_seed_1</t>
  </si>
  <si>
    <t xml:space="preserve">IB_B3450_D583_F12_L8_T_5_seed_2</t>
  </si>
  <si>
    <t xml:space="preserve">IB_B3464_D583_F12_L8_T_5_seed_3</t>
  </si>
  <si>
    <t xml:space="preserve">10.02</t>
  </si>
  <si>
    <t xml:space="preserve">IB_B3520_D583_F12_L8_T_5_seed_4</t>
  </si>
  <si>
    <t xml:space="preserve">0.26</t>
  </si>
  <si>
    <t xml:space="preserve">IB_B4948_D833_F12_L8_T_5_seed_0</t>
  </si>
  <si>
    <t xml:space="preserve">IB_B5181_D833_F12_L8_T_5_seed_1</t>
  </si>
  <si>
    <t xml:space="preserve">IB_B4934_D833_F12_L8_T_5_seed_2</t>
  </si>
  <si>
    <t xml:space="preserve">IB_B4954_D833_F12_L8_T_5_seed_3</t>
  </si>
  <si>
    <t xml:space="preserve">IB_B5034_D833_F12_L8_T_5_seed_4</t>
  </si>
  <si>
    <t xml:space="preserve">0.22</t>
  </si>
  <si>
    <t xml:space="preserve">IB_B1521_D250_F12_L12_T_5_seed_0</t>
  </si>
  <si>
    <t xml:space="preserve">IB_B1603_D250_F12_L12_T_5_seed_1</t>
  </si>
  <si>
    <t xml:space="preserve">IB_B1543_D250_F12_L12_T_5_seed_2</t>
  </si>
  <si>
    <t xml:space="preserve">IB_B1580_D250_F12_L12_T_5_seed_3</t>
  </si>
  <si>
    <t xml:space="preserve">IB_B1628_D250_F12_L12_T_5_seed_4</t>
  </si>
  <si>
    <t xml:space="preserve">IB_B2534_D416_F12_L12_T_5_seed_0</t>
  </si>
  <si>
    <t xml:space="preserve">IB_B2670_D416_F12_L12_T_5_seed_1</t>
  </si>
  <si>
    <t xml:space="preserve">IB_B2570_D416_F12_L12_T_5_seed_2</t>
  </si>
  <si>
    <t xml:space="preserve">18.84</t>
  </si>
  <si>
    <t xml:space="preserve">IB_B2633_D416_F12_L12_T_5_seed_3</t>
  </si>
  <si>
    <t xml:space="preserve">IB_B2708_D416_F12_L12_T_5_seed_4</t>
  </si>
  <si>
    <t xml:space="preserve">IB_B3558_D583_F12_L12_T_5_seed_0</t>
  </si>
  <si>
    <t xml:space="preserve">12.69</t>
  </si>
  <si>
    <t xml:space="preserve">IB_B3748_D583_F12_L12_T_5_seed_1</t>
  </si>
  <si>
    <t xml:space="preserve">IB_B3608_D583_F12_L12_T_5_seed_2</t>
  </si>
  <si>
    <t xml:space="preserve">IB_B3696_D583_F12_L12_T_5_seed_3</t>
  </si>
  <si>
    <t xml:space="preserve">IB_B3804_D583_F12_L12_T_5_seed_4</t>
  </si>
  <si>
    <t xml:space="preserve">IB_B5087_D833_F12_L12_T_5_seed_0</t>
  </si>
  <si>
    <t xml:space="preserve">9.28</t>
  </si>
  <si>
    <t xml:space="preserve">IB_B5361_D833_F12_L12_T_5_seed_1</t>
  </si>
  <si>
    <t xml:space="preserve">IB_B5160_D833_F12_L12_T_5_seed_2</t>
  </si>
  <si>
    <t xml:space="preserve">IB_B5284_D833_F12_L12_T_5_seed_3</t>
  </si>
  <si>
    <t xml:space="preserve">IB_B5438_D833_F12_L12_T_5_seed_4</t>
  </si>
  <si>
    <t xml:space="preserve">IB_B607_D250_F12_L4_T_10_seed_0</t>
  </si>
  <si>
    <t xml:space="preserve">IB_B661_D250_F12_L4_T_10_seed_1</t>
  </si>
  <si>
    <t xml:space="preserve">IB_B614_D250_F12_L4_T_10_seed_2</t>
  </si>
  <si>
    <t xml:space="preserve">IB_B608_D250_F12_L4_T_10_seed_3</t>
  </si>
  <si>
    <t xml:space="preserve">IB_B665_D250_F12_L4_T_10_seed_4</t>
  </si>
  <si>
    <t xml:space="preserve">IB_B1014_D416_F12_L4_T_10_seed_0</t>
  </si>
  <si>
    <t xml:space="preserve">16.19</t>
  </si>
  <si>
    <t xml:space="preserve">IB_B1103_D416_F12_L4_T_10_seed_1</t>
  </si>
  <si>
    <t xml:space="preserve">IB_B1026_D416_F12_L4_T_10_seed_2</t>
  </si>
  <si>
    <t xml:space="preserve">IB_B1014_D416_F12_L4_T_10_seed_3</t>
  </si>
  <si>
    <t xml:space="preserve">IB_B1110_D416_F12_L4_T_10_seed_4</t>
  </si>
  <si>
    <t xml:space="preserve">IB_B1420_D583_F12_L4_T_10_seed_0</t>
  </si>
  <si>
    <t xml:space="preserve">49.99</t>
  </si>
  <si>
    <t xml:space="preserve">IB_B1545_D583_F12_L4_T_10_seed_1</t>
  </si>
  <si>
    <t xml:space="preserve">IB_B1439_D583_F12_L4_T_10_seed_2</t>
  </si>
  <si>
    <t xml:space="preserve">IB_B1419_D583_F12_L4_T_10_seed_3</t>
  </si>
  <si>
    <t xml:space="preserve">IB_B1555_D583_F12_L4_T_10_seed_4</t>
  </si>
  <si>
    <t xml:space="preserve">IB_B2033_D833_F12_L4_T_10_seed_0</t>
  </si>
  <si>
    <t xml:space="preserve">IB_B2213_D833_F12_L4_T_10_seed_1</t>
  </si>
  <si>
    <t xml:space="preserve">IB_B2060_D833_F12_L4_T_10_seed_2</t>
  </si>
  <si>
    <t xml:space="preserve">IB_B2033_D833_F12_L4_T_10_seed_3</t>
  </si>
  <si>
    <t xml:space="preserve">IB_B2228_D833_F12_L4_T_10_seed_4</t>
  </si>
  <si>
    <t xml:space="preserve">IB_B736_D250_F12_L8_T_10_seed_0</t>
  </si>
  <si>
    <t xml:space="preserve">IB_B793_D250_F12_L8_T_10_seed_1</t>
  </si>
  <si>
    <t xml:space="preserve">IB_B731_D250_F12_L8_T_10_seed_2</t>
  </si>
  <si>
    <t xml:space="preserve">IB_B727_D250_F12_L8_T_10_seed_3</t>
  </si>
  <si>
    <t xml:space="preserve">IB_B754_D250_F12_L8_T_10_seed_4</t>
  </si>
  <si>
    <t xml:space="preserve">IB_B1231_D416_F12_L8_T_10_seed_0</t>
  </si>
  <si>
    <t xml:space="preserve">IB_B1324_D416_F12_L8_T_10_seed_1</t>
  </si>
  <si>
    <t xml:space="preserve">IB_B1220_D416_F12_L8_T_10_seed_2</t>
  </si>
  <si>
    <t xml:space="preserve">IB_B1214_D416_F12_L8_T_10_seed_3</t>
  </si>
  <si>
    <t xml:space="preserve">IB_B1257_D416_F12_L8_T_10_seed_4</t>
  </si>
  <si>
    <t xml:space="preserve">IB_B1724_D583_F12_L8_T_10_seed_0</t>
  </si>
  <si>
    <t xml:space="preserve">IB_B1855_D583_F12_L8_T_10_seed_1</t>
  </si>
  <si>
    <t xml:space="preserve">IB_B1711_D583_F12_L8_T_10_seed_2</t>
  </si>
  <si>
    <t xml:space="preserve">IB_B1701_D583_F12_L8_T_10_seed_3</t>
  </si>
  <si>
    <t xml:space="preserve">IB_B1761_D583_F12_L8_T_10_seed_4</t>
  </si>
  <si>
    <t xml:space="preserve">IB_B2468_D833_F12_L8_T_10_seed_0</t>
  </si>
  <si>
    <t xml:space="preserve">IB_B2656_D833_F12_L8_T_10_seed_1</t>
  </si>
  <si>
    <t xml:space="preserve">IB_B2450_D833_F12_L8_T_10_seed_2</t>
  </si>
  <si>
    <t xml:space="preserve">IB_B2438_D833_F12_L8_T_10_seed_3</t>
  </si>
  <si>
    <t xml:space="preserve">IB_B2524_D833_F12_L8_T_10_seed_4</t>
  </si>
  <si>
    <t xml:space="preserve">IB_B766_D250_F12_L12_T_10_seed_0</t>
  </si>
  <si>
    <t xml:space="preserve">4.65</t>
  </si>
  <si>
    <t xml:space="preserve">IB_B797_D250_F12_L12_T_10_seed_1</t>
  </si>
  <si>
    <t xml:space="preserve">IB_B784_D250_F12_L12_T_10_seed_2</t>
  </si>
  <si>
    <t xml:space="preserve">IB_B783_D250_F12_L12_T_10_seed_3</t>
  </si>
  <si>
    <t xml:space="preserve">IB_B804_D250_F12_L12_T_10_seed_4</t>
  </si>
  <si>
    <t xml:space="preserve">IB_B1280_D416_F12_L12_T_10_seed_0</t>
  </si>
  <si>
    <t xml:space="preserve">IB_B1331_D416_F12_L12_T_10_seed_1</t>
  </si>
  <si>
    <t xml:space="preserve">IB_B1308_D416_F12_L12_T_10_seed_2</t>
  </si>
  <si>
    <t xml:space="preserve">2.28</t>
  </si>
  <si>
    <t xml:space="preserve">IB_B1307_D416_F12_L12_T_10_seed_3</t>
  </si>
  <si>
    <t xml:space="preserve">IB_B1341_D416_F12_L12_T_10_seed_4</t>
  </si>
  <si>
    <t xml:space="preserve">IB_B1792_D583_F12_L12_T_10_seed_0</t>
  </si>
  <si>
    <t xml:space="preserve">IB_B1865_D583_F12_L12_T_10_seed_1</t>
  </si>
  <si>
    <t xml:space="preserve">IB_B1833_D583_F12_L12_T_10_seed_2</t>
  </si>
  <si>
    <t xml:space="preserve">7.78</t>
  </si>
  <si>
    <t xml:space="preserve">IB_B1832_D583_F12_L12_T_10_seed_3</t>
  </si>
  <si>
    <t xml:space="preserve">IB_B1880_D583_F12_L12_T_10_seed_4</t>
  </si>
  <si>
    <t xml:space="preserve">IB_B2566_D833_F12_L12_T_10_seed_0</t>
  </si>
  <si>
    <t xml:space="preserve">IB_B2670_D833_F12_L12_T_10_seed_1</t>
  </si>
  <si>
    <t xml:space="preserve">0.94</t>
  </si>
  <si>
    <t xml:space="preserve">IB_B2625_D833_F12_L12_T_10_seed_2</t>
  </si>
  <si>
    <t xml:space="preserve">IB_B2623_D833_F12_L12_T_10_seed_3</t>
  </si>
  <si>
    <t xml:space="preserve">IB_B2692_D833_F12_L12_T_10_seed_4</t>
  </si>
  <si>
    <t xml:space="preserve">IB_B414_D250_F12_L4_T_15_seed_0</t>
  </si>
  <si>
    <t xml:space="preserve">3.84</t>
  </si>
  <si>
    <t xml:space="preserve">IB_B424_D250_F12_L4_T_15_seed_1</t>
  </si>
  <si>
    <t xml:space="preserve">IB_B402_D250_F12_L4_T_15_seed_2</t>
  </si>
  <si>
    <t xml:space="preserve">IB_B405_D250_F12_L4_T_15_seed_3</t>
  </si>
  <si>
    <t xml:space="preserve">IB_B443_D250_F12_L4_T_15_seed_4</t>
  </si>
  <si>
    <t xml:space="preserve">IB_B693_D416_F12_L4_T_15_seed_0</t>
  </si>
  <si>
    <t xml:space="preserve">42.03</t>
  </si>
  <si>
    <t xml:space="preserve">IB_B713_D416_F12_L4_T_15_seed_1</t>
  </si>
  <si>
    <t xml:space="preserve">IB_B672_D416_F12_L4_T_15_seed_2</t>
  </si>
  <si>
    <t xml:space="preserve">IB_B679_D416_F12_L4_T_15_seed_3</t>
  </si>
  <si>
    <t xml:space="preserve">IB_B744_D416_F12_L4_T_15_seed_4</t>
  </si>
  <si>
    <t xml:space="preserve">IB_B975_D583_F12_L4_T_15_seed_0</t>
  </si>
  <si>
    <t xml:space="preserve">IB_B1005_D583_F12_L4_T_15_seed_1</t>
  </si>
  <si>
    <t xml:space="preserve">IB_B950_D583_F12_L4_T_15_seed_2</t>
  </si>
  <si>
    <t xml:space="preserve">IB_B959_D583_F12_L4_T_15_seed_3</t>
  </si>
  <si>
    <t xml:space="preserve">IB_B1050_D583_F12_L4_T_15_seed_4</t>
  </si>
  <si>
    <t xml:space="preserve">IB_B1399_D833_F12_L4_T_15_seed_0</t>
  </si>
  <si>
    <t xml:space="preserve">1.22</t>
  </si>
  <si>
    <t xml:space="preserve">IB_B1438_D833_F12_L4_T_15_seed_1</t>
  </si>
  <si>
    <t xml:space="preserve">IB_B1358_D833_F12_L4_T_15_seed_2</t>
  </si>
  <si>
    <t xml:space="preserve">IB_B1371_D833_F12_L4_T_15_seed_3</t>
  </si>
  <si>
    <t xml:space="preserve">IB_B1500_D833_F12_L4_T_15_seed_4</t>
  </si>
  <si>
    <t xml:space="preserve">IB_B484_D250_F12_L8_T_15_seed_0</t>
  </si>
  <si>
    <t xml:space="preserve">5.59</t>
  </si>
  <si>
    <t xml:space="preserve">IB_B521_D250_F12_L8_T_15_seed_1</t>
  </si>
  <si>
    <t xml:space="preserve">IB_B489_D250_F12_L8_T_15_seed_2</t>
  </si>
  <si>
    <t xml:space="preserve">IB_B481_D250_F12_L8_T_15_seed_3</t>
  </si>
  <si>
    <t xml:space="preserve">IB_B502_D250_F12_L8_T_15_seed_4</t>
  </si>
  <si>
    <t xml:space="preserve">IB_B811_D416_F12_L8_T_15_seed_0</t>
  </si>
  <si>
    <t xml:space="preserve">IB_B877_D416_F12_L8_T_15_seed_1</t>
  </si>
  <si>
    <t xml:space="preserve">IB_B820_D416_F12_L8_T_15_seed_2</t>
  </si>
  <si>
    <t xml:space="preserve">IB_B806_D416_F12_L8_T_15_seed_3</t>
  </si>
  <si>
    <t xml:space="preserve">IB_B841_D416_F12_L8_T_15_seed_4</t>
  </si>
  <si>
    <t xml:space="preserve">0.08</t>
  </si>
  <si>
    <t xml:space="preserve">IB_B1144_D583_F12_L8_T_15_seed_0</t>
  </si>
  <si>
    <t xml:space="preserve">IB_B1234_D583_F12_L8_T_15_seed_1</t>
  </si>
  <si>
    <t xml:space="preserve">IB_B1156_D583_F12_L8_T_15_seed_2</t>
  </si>
  <si>
    <t xml:space="preserve">IB_B1138_D583_F12_L8_T_15_seed_3</t>
  </si>
  <si>
    <t xml:space="preserve">IB_B1185_D583_F12_L8_T_15_seed_4</t>
  </si>
  <si>
    <t xml:space="preserve">IB_B1636_D833_F12_L8_T_15_seed_0</t>
  </si>
  <si>
    <t xml:space="preserve">8.69</t>
  </si>
  <si>
    <t xml:space="preserve">IB_B1765_D833_F12_L8_T_15_seed_1</t>
  </si>
  <si>
    <t xml:space="preserve">IB_B1654_D833_F12_L8_T_15_seed_2</t>
  </si>
  <si>
    <t xml:space="preserve">IB_B1628_D833_F12_L8_T_15_seed_3</t>
  </si>
  <si>
    <t xml:space="preserve">IB_B1697_D833_F12_L8_T_15_seed_4</t>
  </si>
  <si>
    <t xml:space="preserve">IB_B508_D250_F12_L12_T_15_seed_0</t>
  </si>
  <si>
    <t xml:space="preserve">IB_B528_D250_F12_L12_T_15_seed_1</t>
  </si>
  <si>
    <t xml:space="preserve">IB_B509_D250_F12_L12_T_15_seed_2</t>
  </si>
  <si>
    <t xml:space="preserve">IB_B507_D250_F12_L12_T_15_seed_3</t>
  </si>
  <si>
    <t xml:space="preserve">IB_B534_D250_F12_L12_T_15_seed_4</t>
  </si>
  <si>
    <t xml:space="preserve">IB_B853_D416_F12_L12_T_15_seed_0</t>
  </si>
  <si>
    <t xml:space="preserve">IB_B885_D416_F12_L12_T_15_seed_1</t>
  </si>
  <si>
    <t xml:space="preserve">IB_B852_D416_F12_L12_T_15_seed_2</t>
  </si>
  <si>
    <t xml:space="preserve">IB_B852_D416_F12_L12_T_15_seed_3</t>
  </si>
  <si>
    <t xml:space="preserve">IB_B896_D416_F12_L12_T_15_seed_4</t>
  </si>
  <si>
    <t xml:space="preserve">IB_B1203_D583_F12_L12_T_15_seed_0</t>
  </si>
  <si>
    <t xml:space="preserve">IB_B1249_D583_F12_L12_T_15_seed_1</t>
  </si>
  <si>
    <t xml:space="preserve">0.46</t>
  </si>
  <si>
    <t xml:space="preserve">IB_B1204_D583_F12_L12_T_15_seed_2</t>
  </si>
  <si>
    <t xml:space="preserve">IB_B1202_D583_F12_L12_T_15_seed_3</t>
  </si>
  <si>
    <t xml:space="preserve">8.24</t>
  </si>
  <si>
    <t xml:space="preserve">IB_B1264_D583_F12_L12_T_15_seed_4</t>
  </si>
  <si>
    <t xml:space="preserve">IB_B1721_D833_F12_L12_T_15_seed_0</t>
  </si>
  <si>
    <t xml:space="preserve">IB_B1785_D833_F12_L12_T_15_seed_1</t>
  </si>
  <si>
    <t xml:space="preserve">IB_B1721_D833_F12_L12_T_15_seed_2</t>
  </si>
  <si>
    <t xml:space="preserve">IB_B1719_D833_F12_L12_T_15_seed_3</t>
  </si>
  <si>
    <t xml:space="preserve">IB_B1808_D833_F12_L12_T_15_seed_4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</si>
</sst>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0"/>
    <numFmt numFmtId="167" formatCode="#,##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theme="4" tint="0.7998"/>
        <bgColor rgb="FFCCFFCC"/>
      </patternFill>
    </fill>
    <fill>
      <patternFill patternType="solid">
        <fgColor rgb="FFFFB66C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2"/>
        <color rgb="FF006600"/>
      </font>
      <fill>
        <patternFill>
          <bgColor rgb="FFCCFF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4FEB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48576"/>
  <sheetViews>
    <sheetView showFormulas="false" showGridLines="true" showRowColHeaders="true" showZeros="true" rightToLeft="false" tabSelected="true" showOutlineSymbols="true" defaultGridColor="true" view="normal" topLeftCell="C704" colorId="64" zoomScale="100" zoomScaleNormal="100" zoomScalePageLayoutView="100" workbookViewId="0">
      <selection pane="topLeft" activeCell="C721" activeCellId="0" sqref="C721"/>
    </sheetView>
  </sheetViews>
  <sheetFormatPr defaultColWidth="11.5625" defaultRowHeight="12.75" customHeight="true" zeroHeight="false" outlineLevelRow="0" outlineLevelCol="0"/>
  <cols>
    <col collapsed="false" customWidth="true" hidden="false" outlineLevel="0" max="1" min="1" style="0" width="34.21"/>
    <col collapsed="false" customWidth="true" hidden="false" outlineLevel="0" max="2" min="2" style="0" width="5.33"/>
    <col collapsed="false" customWidth="true" hidden="false" outlineLevel="0" max="3" min="3" style="0" width="12.44"/>
    <col collapsed="false" customWidth="true" hidden="false" outlineLevel="0" max="4" min="4" style="0" width="10.56"/>
    <col collapsed="false" customWidth="true" hidden="false" outlineLevel="0" max="6" min="5" style="0" width="5.33"/>
    <col collapsed="false" customWidth="true" hidden="false" outlineLevel="0" max="7" min="7" style="0" width="3.44"/>
    <col collapsed="false" customWidth="true" hidden="false" outlineLevel="0" max="8" min="8" style="0" width="3.56"/>
    <col collapsed="false" customWidth="true" hidden="false" outlineLevel="0" max="10" min="9" style="0" width="3.44"/>
    <col collapsed="false" customWidth="true" hidden="false" outlineLevel="0" max="11" min="11" style="0" width="5.33"/>
    <col collapsed="false" customWidth="true" hidden="false" outlineLevel="0" max="13" min="12" style="0" width="10.78"/>
    <col collapsed="false" customWidth="true" hidden="false" outlineLevel="0" max="14" min="14" style="0" width="7.88"/>
    <col collapsed="false" customWidth="true" hidden="false" outlineLevel="0" max="15" min="15" style="0" width="9.78"/>
    <col collapsed="false" customWidth="true" hidden="false" outlineLevel="0" max="16" min="16" style="0" width="10.56"/>
    <col collapsed="false" customWidth="true" hidden="false" outlineLevel="0" max="17" min="17" style="0" width="4.88"/>
    <col collapsed="false" customWidth="true" hidden="false" outlineLevel="0" max="18" min="18" style="0" width="6.88"/>
    <col collapsed="false" customWidth="true" hidden="false" outlineLevel="0" max="19" min="19" style="0" width="8"/>
    <col collapsed="false" customWidth="true" hidden="false" outlineLevel="0" max="20" min="20" style="0" width="6.77"/>
    <col collapsed="false" customWidth="true" hidden="false" outlineLevel="0" max="21" min="21" style="0" width="8.56"/>
    <col collapsed="false" customWidth="true" hidden="false" outlineLevel="0" max="22" min="22" style="0" width="10.78"/>
    <col collapsed="false" customWidth="true" hidden="false" outlineLevel="0" max="23" min="23" style="0" width="9.78"/>
    <col collapsed="false" customWidth="true" hidden="false" outlineLevel="0" max="24" min="24" style="0" width="10.56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1" t="s">
        <v>11</v>
      </c>
      <c r="M1" s="0" t="s">
        <v>12</v>
      </c>
      <c r="N1" s="0" t="s">
        <v>13</v>
      </c>
      <c r="O1" s="0" t="s">
        <v>14</v>
      </c>
      <c r="P1" s="1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0" t="s">
        <v>28</v>
      </c>
      <c r="AD1" s="0" t="s">
        <v>29</v>
      </c>
    </row>
    <row r="2" customFormat="false" ht="12.75" hidden="false" customHeight="false" outlineLevel="0" collapsed="false">
      <c r="A2" s="0" t="s">
        <v>30</v>
      </c>
      <c r="B2" s="0" t="n">
        <v>0</v>
      </c>
      <c r="C2" s="0" t="s">
        <v>31</v>
      </c>
      <c r="D2" s="0" t="s">
        <v>31</v>
      </c>
      <c r="E2" s="0" t="n">
        <v>1000</v>
      </c>
      <c r="F2" s="0" t="n">
        <v>1171</v>
      </c>
      <c r="G2" s="0" t="n">
        <v>5</v>
      </c>
      <c r="H2" s="0" t="n">
        <v>3</v>
      </c>
      <c r="I2" s="0" t="n">
        <v>3</v>
      </c>
      <c r="J2" s="0" t="n">
        <v>4</v>
      </c>
      <c r="K2" s="0" t="n">
        <v>0.7</v>
      </c>
      <c r="L2" s="1" t="n">
        <v>88144.73</v>
      </c>
      <c r="M2" s="0" t="n">
        <v>86977</v>
      </c>
      <c r="N2" s="0" t="n">
        <v>1167.73</v>
      </c>
      <c r="O2" s="0" t="n">
        <v>54401</v>
      </c>
      <c r="P2" s="1" t="n">
        <v>2.16</v>
      </c>
      <c r="Q2" s="0" t="n">
        <v>0</v>
      </c>
      <c r="R2" s="0" t="n">
        <v>25</v>
      </c>
      <c r="S2" s="0" t="s">
        <v>32</v>
      </c>
      <c r="T2" s="0" t="str">
        <f aca="false">IF(L2="inf","False","True")</f>
        <v>True</v>
      </c>
      <c r="U2" s="0" t="str">
        <f aca="false">IF(V2="inf","False","True")</f>
        <v>True</v>
      </c>
      <c r="V2" s="4" t="n">
        <v>146508.91</v>
      </c>
      <c r="W2" s="4" t="n">
        <v>57680.04</v>
      </c>
      <c r="X2" s="0" t="n">
        <v>1.26</v>
      </c>
      <c r="Y2" s="5" t="n">
        <f aca="false">V2-L2</f>
        <v>58364.18</v>
      </c>
      <c r="Z2" s="6" t="n">
        <f aca="false">Y2/L2</f>
        <v>0.662140323080007</v>
      </c>
      <c r="AA2" s="3" t="n">
        <f aca="false">X2-P2</f>
        <v>-0.9</v>
      </c>
      <c r="AB2" s="6" t="n">
        <f aca="false">AA2/P2</f>
        <v>-0.416666666666667</v>
      </c>
      <c r="AC2" s="3" t="s">
        <v>33</v>
      </c>
      <c r="AD2" s="7" t="e">
        <f aca="false">AVERAGE(Y2:Y721)</f>
        <v>#VALUE!</v>
      </c>
    </row>
    <row r="3" customFormat="false" ht="12.75" hidden="false" customHeight="false" outlineLevel="0" collapsed="false">
      <c r="A3" s="0" t="s">
        <v>34</v>
      </c>
      <c r="B3" s="0" t="n">
        <v>1</v>
      </c>
      <c r="C3" s="0" t="s">
        <v>31</v>
      </c>
      <c r="D3" s="0" t="s">
        <v>31</v>
      </c>
      <c r="E3" s="0" t="n">
        <v>1000</v>
      </c>
      <c r="F3" s="0" t="n">
        <v>1363</v>
      </c>
      <c r="G3" s="0" t="n">
        <v>5</v>
      </c>
      <c r="H3" s="0" t="n">
        <v>3</v>
      </c>
      <c r="I3" s="0" t="n">
        <v>3</v>
      </c>
      <c r="J3" s="0" t="n">
        <v>4</v>
      </c>
      <c r="K3" s="0" t="n">
        <v>0.7</v>
      </c>
      <c r="L3" s="1" t="n">
        <v>139298.96</v>
      </c>
      <c r="M3" s="0" t="n">
        <v>137985</v>
      </c>
      <c r="N3" s="0" t="n">
        <v>1313.96</v>
      </c>
      <c r="O3" s="0" t="n">
        <v>59181</v>
      </c>
      <c r="P3" s="1" t="n">
        <v>2.14</v>
      </c>
      <c r="Q3" s="0" t="n">
        <v>0</v>
      </c>
      <c r="R3" s="0" t="n">
        <v>4</v>
      </c>
      <c r="S3" s="0" t="s">
        <v>32</v>
      </c>
      <c r="T3" s="0" t="str">
        <f aca="false">IF(L3="inf","False","True")</f>
        <v>True</v>
      </c>
      <c r="U3" s="0" t="str">
        <f aca="false">IF(V3="inf","False","True")</f>
        <v>True</v>
      </c>
      <c r="V3" s="4" t="n">
        <v>68233.13</v>
      </c>
      <c r="W3" s="4" t="n">
        <v>61112.92</v>
      </c>
      <c r="X3" s="0" t="n">
        <v>2.22</v>
      </c>
      <c r="Y3" s="5" t="n">
        <f aca="false">V3-L3</f>
        <v>-71065.83</v>
      </c>
      <c r="Z3" s="6" t="n">
        <f aca="false">Y3/L3</f>
        <v>-0.510167699744492</v>
      </c>
      <c r="AA3" s="3" t="n">
        <f aca="false">X3-P3</f>
        <v>0.0800000000000001</v>
      </c>
      <c r="AB3" s="6" t="n">
        <f aca="false">AA3/P3</f>
        <v>0.0373831775700935</v>
      </c>
      <c r="AC3" s="3" t="s">
        <v>35</v>
      </c>
      <c r="AD3" s="6" t="e">
        <f aca="false">AVERAGE(Z2:Z721)</f>
        <v>#VALUE!</v>
      </c>
    </row>
    <row r="4" customFormat="false" ht="12.75" hidden="false" customHeight="false" outlineLevel="0" collapsed="false">
      <c r="A4" s="0" t="s">
        <v>36</v>
      </c>
      <c r="B4" s="0" t="n">
        <v>2</v>
      </c>
      <c r="C4" s="0" t="s">
        <v>31</v>
      </c>
      <c r="D4" s="0" t="s">
        <v>31</v>
      </c>
      <c r="E4" s="0" t="n">
        <v>1000</v>
      </c>
      <c r="F4" s="0" t="n">
        <v>1312</v>
      </c>
      <c r="G4" s="0" t="n">
        <v>5</v>
      </c>
      <c r="H4" s="0" t="n">
        <v>3</v>
      </c>
      <c r="I4" s="0" t="n">
        <v>3</v>
      </c>
      <c r="J4" s="0" t="n">
        <v>4</v>
      </c>
      <c r="K4" s="0" t="n">
        <v>0.7</v>
      </c>
      <c r="L4" s="1" t="n">
        <v>121943.78</v>
      </c>
      <c r="M4" s="0" t="n">
        <v>120651.92</v>
      </c>
      <c r="N4" s="0" t="n">
        <v>1291.86</v>
      </c>
      <c r="O4" s="0" t="n">
        <v>60097.02</v>
      </c>
      <c r="P4" s="1" t="n">
        <v>1.71</v>
      </c>
      <c r="Q4" s="0" t="n">
        <v>0</v>
      </c>
      <c r="R4" s="0" t="n">
        <v>26</v>
      </c>
      <c r="S4" s="0" t="s">
        <v>32</v>
      </c>
      <c r="T4" s="0" t="str">
        <f aca="false">IF(L4="inf","False","True")</f>
        <v>True</v>
      </c>
      <c r="U4" s="0" t="str">
        <f aca="false">IF(V4="inf","False","True")</f>
        <v>False</v>
      </c>
      <c r="V4" s="4" t="s">
        <v>37</v>
      </c>
      <c r="W4" s="4" t="s">
        <v>37</v>
      </c>
      <c r="X4" s="0" t="n">
        <v>3.12</v>
      </c>
      <c r="Y4" s="5" t="e">
        <f aca="false">V4-L4</f>
        <v>#VALUE!</v>
      </c>
      <c r="Z4" s="6" t="e">
        <f aca="false">Y4/L4</f>
        <v>#VALUE!</v>
      </c>
      <c r="AA4" s="3" t="n">
        <f aca="false">X4-P4</f>
        <v>1.41</v>
      </c>
      <c r="AB4" s="6" t="n">
        <f aca="false">AA4/P4</f>
        <v>0.824561403508772</v>
      </c>
      <c r="AC4" s="3" t="s">
        <v>38</v>
      </c>
      <c r="AD4" s="8" t="n">
        <f aca="false">AVERAGE(AA2:AA721)</f>
        <v>2.69899999999998</v>
      </c>
    </row>
    <row r="5" customFormat="false" ht="12.75" hidden="false" customHeight="false" outlineLevel="0" collapsed="false">
      <c r="A5" s="0" t="s">
        <v>39</v>
      </c>
      <c r="B5" s="0" t="n">
        <v>3</v>
      </c>
      <c r="C5" s="0" t="s">
        <v>31</v>
      </c>
      <c r="D5" s="0" t="s">
        <v>31</v>
      </c>
      <c r="E5" s="0" t="n">
        <v>1000</v>
      </c>
      <c r="F5" s="0" t="n">
        <v>1268</v>
      </c>
      <c r="G5" s="0" t="n">
        <v>5</v>
      </c>
      <c r="H5" s="0" t="n">
        <v>3</v>
      </c>
      <c r="I5" s="0" t="n">
        <v>3</v>
      </c>
      <c r="J5" s="0" t="n">
        <v>4</v>
      </c>
      <c r="K5" s="0" t="n">
        <v>0.7</v>
      </c>
      <c r="L5" s="1" t="n">
        <v>143125.12</v>
      </c>
      <c r="M5" s="0" t="n">
        <v>141865.95</v>
      </c>
      <c r="N5" s="0" t="n">
        <v>1259.17</v>
      </c>
      <c r="O5" s="0" t="n">
        <v>60554.45</v>
      </c>
      <c r="P5" s="1" t="n">
        <v>1.52</v>
      </c>
      <c r="Q5" s="0" t="n">
        <v>0</v>
      </c>
      <c r="R5" s="0" t="n">
        <v>5</v>
      </c>
      <c r="S5" s="0" t="s">
        <v>32</v>
      </c>
      <c r="T5" s="0" t="str">
        <f aca="false">IF(L5="inf","False","True")</f>
        <v>True</v>
      </c>
      <c r="U5" s="0" t="str">
        <f aca="false">IF(V5="inf","False","True")</f>
        <v>False</v>
      </c>
      <c r="V5" s="4" t="s">
        <v>37</v>
      </c>
      <c r="W5" s="4" t="s">
        <v>37</v>
      </c>
      <c r="X5" s="0" t="n">
        <v>3.03</v>
      </c>
      <c r="Y5" s="5" t="e">
        <f aca="false">V5-L5</f>
        <v>#VALUE!</v>
      </c>
      <c r="Z5" s="6" t="e">
        <f aca="false">Y5/L5</f>
        <v>#VALUE!</v>
      </c>
      <c r="AA5" s="3" t="n">
        <f aca="false">X5-P5</f>
        <v>1.51</v>
      </c>
      <c r="AB5" s="6" t="n">
        <f aca="false">AA5/P5</f>
        <v>0.993421052631579</v>
      </c>
      <c r="AC5" s="3" t="s">
        <v>40</v>
      </c>
      <c r="AD5" s="6" t="n">
        <f aca="false">AVERAGE(AB2:AB721)</f>
        <v>3.22420477732618</v>
      </c>
    </row>
    <row r="6" customFormat="false" ht="12.75" hidden="false" customHeight="false" outlineLevel="0" collapsed="false">
      <c r="A6" s="0" t="s">
        <v>41</v>
      </c>
      <c r="B6" s="0" t="n">
        <v>4</v>
      </c>
      <c r="C6" s="0" t="s">
        <v>31</v>
      </c>
      <c r="D6" s="0" t="s">
        <v>31</v>
      </c>
      <c r="E6" s="0" t="n">
        <v>1000</v>
      </c>
      <c r="F6" s="0" t="n">
        <v>1372</v>
      </c>
      <c r="G6" s="0" t="n">
        <v>5</v>
      </c>
      <c r="H6" s="0" t="n">
        <v>3</v>
      </c>
      <c r="I6" s="0" t="n">
        <v>3</v>
      </c>
      <c r="J6" s="0" t="n">
        <v>4</v>
      </c>
      <c r="K6" s="0" t="n">
        <v>0.7</v>
      </c>
      <c r="L6" s="1" t="n">
        <v>1372</v>
      </c>
      <c r="M6" s="0" t="n">
        <v>0</v>
      </c>
      <c r="N6" s="0" t="n">
        <v>1372</v>
      </c>
      <c r="O6" s="0" t="n">
        <v>63402</v>
      </c>
      <c r="P6" s="1" t="n">
        <v>1.35</v>
      </c>
      <c r="Q6" s="0" t="n">
        <v>0</v>
      </c>
      <c r="R6" s="0" t="n">
        <v>6</v>
      </c>
      <c r="S6" s="0" t="s">
        <v>42</v>
      </c>
      <c r="T6" s="0" t="str">
        <f aca="false">IF(L6="inf","False","True")</f>
        <v>True</v>
      </c>
      <c r="U6" s="0" t="str">
        <f aca="false">IF(V6="inf","False","True")</f>
        <v>True</v>
      </c>
      <c r="V6" s="4" t="n">
        <v>80129.62</v>
      </c>
      <c r="W6" s="4" t="n">
        <v>58252.3</v>
      </c>
      <c r="X6" s="0" t="n">
        <v>0.2</v>
      </c>
      <c r="Y6" s="5" t="n">
        <f aca="false">V6-L6</f>
        <v>78757.62</v>
      </c>
      <c r="Z6" s="6" t="n">
        <f aca="false">Y6/L6</f>
        <v>57.4035131195335</v>
      </c>
      <c r="AA6" s="3" t="n">
        <f aca="false">X6-P6</f>
        <v>-1.15</v>
      </c>
      <c r="AB6" s="6" t="n">
        <f aca="false">AA6/P6</f>
        <v>-0.851851851851852</v>
      </c>
      <c r="AC6" s="3" t="s">
        <v>43</v>
      </c>
      <c r="AD6" s="3" t="n">
        <f aca="false">COUNTIF(Y2:Y721,"&gt;=0")</f>
        <v>396</v>
      </c>
    </row>
    <row r="7" customFormat="false" ht="12.75" hidden="false" customHeight="false" outlineLevel="0" collapsed="false">
      <c r="A7" s="0" t="s">
        <v>44</v>
      </c>
      <c r="B7" s="0" t="n">
        <v>0</v>
      </c>
      <c r="C7" s="0" t="s">
        <v>31</v>
      </c>
      <c r="D7" s="0" t="s">
        <v>31</v>
      </c>
      <c r="E7" s="0" t="n">
        <v>1666</v>
      </c>
      <c r="F7" s="0" t="n">
        <v>1952</v>
      </c>
      <c r="G7" s="0" t="n">
        <v>5</v>
      </c>
      <c r="H7" s="0" t="n">
        <v>3</v>
      </c>
      <c r="I7" s="0" t="n">
        <v>3</v>
      </c>
      <c r="J7" s="0" t="n">
        <v>4</v>
      </c>
      <c r="K7" s="0" t="n">
        <v>0.7</v>
      </c>
      <c r="L7" s="1" t="n">
        <v>55052</v>
      </c>
      <c r="M7" s="0" t="n">
        <v>53100</v>
      </c>
      <c r="N7" s="0" t="n">
        <v>1952</v>
      </c>
      <c r="O7" s="0" t="n">
        <v>90677</v>
      </c>
      <c r="P7" s="1" t="n">
        <v>1.83</v>
      </c>
      <c r="Q7" s="0" t="n">
        <v>0</v>
      </c>
      <c r="R7" s="0" t="n">
        <v>2</v>
      </c>
      <c r="S7" s="0" t="s">
        <v>32</v>
      </c>
      <c r="T7" s="0" t="str">
        <f aca="false">IF(L7="inf","False","True")</f>
        <v>True</v>
      </c>
      <c r="U7" s="0" t="str">
        <f aca="false">IF(V7="inf","False","True")</f>
        <v>True</v>
      </c>
      <c r="V7" s="4" t="n">
        <v>40559.63</v>
      </c>
      <c r="W7" s="4" t="n">
        <v>90926</v>
      </c>
      <c r="X7" s="0" t="n">
        <v>0.64</v>
      </c>
      <c r="Y7" s="5" t="n">
        <f aca="false">V7-L7</f>
        <v>-14492.37</v>
      </c>
      <c r="Z7" s="6" t="n">
        <f aca="false">Y7/L7</f>
        <v>-0.263248746639541</v>
      </c>
      <c r="AA7" s="3" t="n">
        <f aca="false">X7-P7</f>
        <v>-1.19</v>
      </c>
      <c r="AB7" s="6" t="n">
        <f aca="false">AA7/P7</f>
        <v>-0.650273224043716</v>
      </c>
      <c r="AC7" s="3" t="s">
        <v>45</v>
      </c>
      <c r="AD7" s="3" t="n">
        <f aca="false">720-AD6</f>
        <v>324</v>
      </c>
    </row>
    <row r="8" customFormat="false" ht="12.75" hidden="false" customHeight="false" outlineLevel="0" collapsed="false">
      <c r="A8" s="0" t="s">
        <v>46</v>
      </c>
      <c r="B8" s="0" t="n">
        <v>1</v>
      </c>
      <c r="C8" s="0" t="s">
        <v>31</v>
      </c>
      <c r="D8" s="0" t="s">
        <v>31</v>
      </c>
      <c r="E8" s="0" t="n">
        <v>1666</v>
      </c>
      <c r="F8" s="0" t="n">
        <v>2272</v>
      </c>
      <c r="G8" s="0" t="n">
        <v>5</v>
      </c>
      <c r="H8" s="0" t="n">
        <v>3</v>
      </c>
      <c r="I8" s="0" t="n">
        <v>3</v>
      </c>
      <c r="J8" s="0" t="n">
        <v>4</v>
      </c>
      <c r="K8" s="0" t="n">
        <v>0.7</v>
      </c>
      <c r="L8" s="1" t="n">
        <v>231933.8</v>
      </c>
      <c r="M8" s="0" t="n">
        <v>229698</v>
      </c>
      <c r="N8" s="0" t="n">
        <v>2235.8</v>
      </c>
      <c r="O8" s="0" t="n">
        <v>98667</v>
      </c>
      <c r="P8" s="1" t="n">
        <v>2.21</v>
      </c>
      <c r="Q8" s="0" t="n">
        <v>0</v>
      </c>
      <c r="R8" s="0" t="n">
        <v>3</v>
      </c>
      <c r="S8" s="0" t="s">
        <v>32</v>
      </c>
      <c r="T8" s="0" t="str">
        <f aca="false">IF(L8="inf","False","True")</f>
        <v>True</v>
      </c>
      <c r="U8" s="0" t="str">
        <f aca="false">IF(V8="inf","False","True")</f>
        <v>False</v>
      </c>
      <c r="V8" s="4" t="s">
        <v>37</v>
      </c>
      <c r="W8" s="4" t="s">
        <v>37</v>
      </c>
      <c r="X8" s="0" t="n">
        <v>3.36</v>
      </c>
      <c r="Y8" s="5" t="e">
        <f aca="false">V8-L8</f>
        <v>#VALUE!</v>
      </c>
      <c r="Z8" s="6" t="e">
        <f aca="false">Y8/L8</f>
        <v>#VALUE!</v>
      </c>
      <c r="AA8" s="3" t="n">
        <f aca="false">X8-P8</f>
        <v>1.15</v>
      </c>
      <c r="AB8" s="6" t="n">
        <f aca="false">AA8/P8</f>
        <v>0.520361990950226</v>
      </c>
    </row>
    <row r="9" customFormat="false" ht="12.75" hidden="false" customHeight="false" outlineLevel="0" collapsed="false">
      <c r="A9" s="0" t="s">
        <v>47</v>
      </c>
      <c r="B9" s="0" t="n">
        <v>2</v>
      </c>
      <c r="C9" s="0" t="s">
        <v>31</v>
      </c>
      <c r="D9" s="0" t="s">
        <v>31</v>
      </c>
      <c r="E9" s="0" t="n">
        <v>1666</v>
      </c>
      <c r="F9" s="0" t="n">
        <v>2188</v>
      </c>
      <c r="G9" s="0" t="n">
        <v>5</v>
      </c>
      <c r="H9" s="0" t="n">
        <v>3</v>
      </c>
      <c r="I9" s="0" t="n">
        <v>3</v>
      </c>
      <c r="J9" s="0" t="n">
        <v>4</v>
      </c>
      <c r="K9" s="0" t="n">
        <v>0.7</v>
      </c>
      <c r="L9" s="1" t="n">
        <v>201693.44</v>
      </c>
      <c r="M9" s="0" t="n">
        <v>199540.19</v>
      </c>
      <c r="N9" s="0" t="n">
        <v>2153.25</v>
      </c>
      <c r="O9" s="0" t="n">
        <v>100107.89</v>
      </c>
      <c r="P9" s="1" t="n">
        <v>1.74</v>
      </c>
      <c r="Q9" s="0" t="n">
        <v>0</v>
      </c>
      <c r="R9" s="0" t="n">
        <v>28</v>
      </c>
      <c r="S9" s="0" t="s">
        <v>32</v>
      </c>
      <c r="T9" s="0" t="str">
        <f aca="false">IF(L9="inf","False","True")</f>
        <v>True</v>
      </c>
      <c r="U9" s="0" t="str">
        <f aca="false">IF(V9="inf","False","True")</f>
        <v>False</v>
      </c>
      <c r="V9" s="4" t="s">
        <v>37</v>
      </c>
      <c r="W9" s="4" t="s">
        <v>37</v>
      </c>
      <c r="X9" s="0" t="n">
        <v>3.01</v>
      </c>
      <c r="Y9" s="5" t="e">
        <f aca="false">V9-L9</f>
        <v>#VALUE!</v>
      </c>
      <c r="Z9" s="6" t="e">
        <f aca="false">Y9/L9</f>
        <v>#VALUE!</v>
      </c>
      <c r="AA9" s="3" t="n">
        <f aca="false">X9-P9</f>
        <v>1.27</v>
      </c>
      <c r="AB9" s="6" t="n">
        <f aca="false">AA9/P9</f>
        <v>0.729885057471264</v>
      </c>
    </row>
    <row r="10" customFormat="false" ht="12.75" hidden="false" customHeight="false" outlineLevel="0" collapsed="false">
      <c r="A10" s="0" t="s">
        <v>48</v>
      </c>
      <c r="B10" s="0" t="n">
        <v>3</v>
      </c>
      <c r="C10" s="0" t="s">
        <v>31</v>
      </c>
      <c r="D10" s="0" t="s">
        <v>31</v>
      </c>
      <c r="E10" s="0" t="n">
        <v>1666</v>
      </c>
      <c r="F10" s="0" t="n">
        <v>2112</v>
      </c>
      <c r="G10" s="0" t="n">
        <v>5</v>
      </c>
      <c r="H10" s="0" t="n">
        <v>3</v>
      </c>
      <c r="I10" s="0" t="n">
        <v>3</v>
      </c>
      <c r="J10" s="0" t="n">
        <v>4</v>
      </c>
      <c r="K10" s="0" t="n">
        <v>0.7</v>
      </c>
      <c r="L10" s="1" t="n">
        <v>238500.9</v>
      </c>
      <c r="M10" s="0" t="n">
        <v>236403.92</v>
      </c>
      <c r="N10" s="0" t="n">
        <v>2096.98</v>
      </c>
      <c r="O10" s="0" t="n">
        <v>100921.95</v>
      </c>
      <c r="P10" s="1" t="n">
        <v>1.61</v>
      </c>
      <c r="Q10" s="0" t="n">
        <v>0</v>
      </c>
      <c r="R10" s="0" t="n">
        <v>5</v>
      </c>
      <c r="S10" s="0" t="s">
        <v>32</v>
      </c>
      <c r="T10" s="0" t="str">
        <f aca="false">IF(L10="inf","False","True")</f>
        <v>True</v>
      </c>
      <c r="U10" s="0" t="str">
        <f aca="false">IF(V10="inf","False","True")</f>
        <v>True</v>
      </c>
      <c r="V10" s="4" t="n">
        <v>232583.49</v>
      </c>
      <c r="W10" s="4" t="n">
        <v>100210.56</v>
      </c>
      <c r="X10" s="0" t="n">
        <v>2.39</v>
      </c>
      <c r="Y10" s="5" t="n">
        <f aca="false">V10-L10</f>
        <v>-5917.41</v>
      </c>
      <c r="Z10" s="6" t="n">
        <f aca="false">Y10/L10</f>
        <v>-0.0248108497703782</v>
      </c>
      <c r="AA10" s="3" t="n">
        <f aca="false">X10-P10</f>
        <v>0.78</v>
      </c>
      <c r="AB10" s="6" t="n">
        <f aca="false">AA10/P10</f>
        <v>0.484472049689441</v>
      </c>
    </row>
    <row r="11" customFormat="false" ht="12.75" hidden="false" customHeight="false" outlineLevel="0" collapsed="false">
      <c r="A11" s="0" t="s">
        <v>49</v>
      </c>
      <c r="B11" s="0" t="n">
        <v>4</v>
      </c>
      <c r="C11" s="0" t="s">
        <v>31</v>
      </c>
      <c r="D11" s="0" t="s">
        <v>31</v>
      </c>
      <c r="E11" s="0" t="n">
        <v>1666</v>
      </c>
      <c r="F11" s="0" t="n">
        <v>2286</v>
      </c>
      <c r="G11" s="0" t="n">
        <v>5</v>
      </c>
      <c r="H11" s="0" t="n">
        <v>3</v>
      </c>
      <c r="I11" s="0" t="n">
        <v>3</v>
      </c>
      <c r="J11" s="0" t="n">
        <v>4</v>
      </c>
      <c r="K11" s="0" t="n">
        <v>0.7</v>
      </c>
      <c r="L11" s="1" t="n">
        <v>2286</v>
      </c>
      <c r="M11" s="0" t="n">
        <v>0</v>
      </c>
      <c r="N11" s="0" t="n">
        <v>2286</v>
      </c>
      <c r="O11" s="0" t="n">
        <v>105634</v>
      </c>
      <c r="P11" s="1" t="n">
        <v>1.06</v>
      </c>
      <c r="Q11" s="0" t="n">
        <v>0</v>
      </c>
      <c r="R11" s="0" t="n">
        <v>1</v>
      </c>
      <c r="S11" s="0" t="s">
        <v>42</v>
      </c>
      <c r="T11" s="0" t="str">
        <f aca="false">IF(L11="inf","False","True")</f>
        <v>True</v>
      </c>
      <c r="U11" s="0" t="str">
        <f aca="false">IF(V11="inf","False","True")</f>
        <v>True</v>
      </c>
      <c r="V11" s="4" t="n">
        <v>148757.58</v>
      </c>
      <c r="W11" s="4" t="n">
        <v>96860.56</v>
      </c>
      <c r="X11" s="0" t="n">
        <v>0.66</v>
      </c>
      <c r="Y11" s="5" t="n">
        <f aca="false">V11-L11</f>
        <v>146471.58</v>
      </c>
      <c r="Z11" s="6" t="n">
        <f aca="false">Y11/L11</f>
        <v>64.0733070866142</v>
      </c>
      <c r="AA11" s="3" t="n">
        <f aca="false">X11-P11</f>
        <v>-0.4</v>
      </c>
      <c r="AB11" s="6" t="n">
        <f aca="false">AA11/P11</f>
        <v>-0.377358490566038</v>
      </c>
    </row>
    <row r="12" customFormat="false" ht="12.75" hidden="false" customHeight="false" outlineLevel="0" collapsed="false">
      <c r="A12" s="0" t="s">
        <v>50</v>
      </c>
      <c r="B12" s="0" t="n">
        <v>0</v>
      </c>
      <c r="C12" s="0" t="s">
        <v>31</v>
      </c>
      <c r="D12" s="0" t="s">
        <v>31</v>
      </c>
      <c r="E12" s="0" t="n">
        <v>2333</v>
      </c>
      <c r="F12" s="0" t="n">
        <v>2734</v>
      </c>
      <c r="G12" s="0" t="n">
        <v>5</v>
      </c>
      <c r="H12" s="0" t="n">
        <v>3</v>
      </c>
      <c r="I12" s="0" t="n">
        <v>3</v>
      </c>
      <c r="J12" s="0" t="n">
        <v>4</v>
      </c>
      <c r="K12" s="0" t="n">
        <v>0.7</v>
      </c>
      <c r="L12" s="1" t="n">
        <v>76897</v>
      </c>
      <c r="M12" s="0" t="n">
        <v>74163</v>
      </c>
      <c r="N12" s="0" t="n">
        <v>2734</v>
      </c>
      <c r="O12" s="0" t="n">
        <v>126928</v>
      </c>
      <c r="P12" s="1" t="n">
        <v>2.52</v>
      </c>
      <c r="Q12" s="0" t="n">
        <v>0</v>
      </c>
      <c r="R12" s="0" t="n">
        <v>23</v>
      </c>
      <c r="S12" s="0" t="s">
        <v>32</v>
      </c>
      <c r="T12" s="0" t="str">
        <f aca="false">IF(L12="inf","False","True")</f>
        <v>True</v>
      </c>
      <c r="U12" s="0" t="str">
        <f aca="false">IF(V12="inf","False","True")</f>
        <v>False</v>
      </c>
      <c r="V12" s="4" t="s">
        <v>37</v>
      </c>
      <c r="W12" s="4" t="s">
        <v>37</v>
      </c>
      <c r="X12" s="0" t="n">
        <v>3.01</v>
      </c>
      <c r="Y12" s="5" t="e">
        <f aca="false">V12-L12</f>
        <v>#VALUE!</v>
      </c>
      <c r="Z12" s="6" t="e">
        <f aca="false">Y12/L12</f>
        <v>#VALUE!</v>
      </c>
      <c r="AA12" s="3" t="n">
        <f aca="false">X12-P12</f>
        <v>0.49</v>
      </c>
      <c r="AB12" s="6" t="n">
        <f aca="false">AA12/P12</f>
        <v>0.194444444444444</v>
      </c>
    </row>
    <row r="13" customFormat="false" ht="12.75" hidden="false" customHeight="false" outlineLevel="0" collapsed="false">
      <c r="A13" s="0" t="s">
        <v>51</v>
      </c>
      <c r="B13" s="0" t="n">
        <v>1</v>
      </c>
      <c r="C13" s="0" t="s">
        <v>31</v>
      </c>
      <c r="D13" s="0" t="s">
        <v>31</v>
      </c>
      <c r="E13" s="0" t="n">
        <v>2333</v>
      </c>
      <c r="F13" s="0" t="n">
        <v>3182</v>
      </c>
      <c r="G13" s="0" t="n">
        <v>5</v>
      </c>
      <c r="H13" s="0" t="n">
        <v>3</v>
      </c>
      <c r="I13" s="0" t="n">
        <v>3</v>
      </c>
      <c r="J13" s="0" t="n">
        <v>4</v>
      </c>
      <c r="K13" s="0" t="n">
        <v>0.7</v>
      </c>
      <c r="L13" s="1" t="n">
        <v>324622.64</v>
      </c>
      <c r="M13" s="0" t="n">
        <v>321541</v>
      </c>
      <c r="N13" s="0" t="n">
        <v>3081.64</v>
      </c>
      <c r="O13" s="0" t="n">
        <v>138139</v>
      </c>
      <c r="P13" s="1" t="n">
        <v>2.75</v>
      </c>
      <c r="Q13" s="0" t="n">
        <v>0</v>
      </c>
      <c r="R13" s="0" t="n">
        <v>28</v>
      </c>
      <c r="S13" s="0" t="s">
        <v>32</v>
      </c>
      <c r="T13" s="0" t="str">
        <f aca="false">IF(L13="inf","False","True")</f>
        <v>True</v>
      </c>
      <c r="U13" s="0" t="str">
        <f aca="false">IF(V13="inf","False","True")</f>
        <v>True</v>
      </c>
      <c r="V13" s="4" t="n">
        <v>376313.16</v>
      </c>
      <c r="W13" s="4" t="n">
        <v>145010.39</v>
      </c>
      <c r="X13" s="0" t="n">
        <v>0.72</v>
      </c>
      <c r="Y13" s="5" t="n">
        <f aca="false">V13-L13</f>
        <v>51690.52</v>
      </c>
      <c r="Z13" s="6" t="n">
        <f aca="false">Y13/L13</f>
        <v>0.159232640089428</v>
      </c>
      <c r="AA13" s="3" t="n">
        <f aca="false">X13-P13</f>
        <v>-2.03</v>
      </c>
      <c r="AB13" s="6" t="n">
        <f aca="false">AA13/P13</f>
        <v>-0.738181818181818</v>
      </c>
    </row>
    <row r="14" customFormat="false" ht="12.75" hidden="false" customHeight="false" outlineLevel="0" collapsed="false">
      <c r="A14" s="0" t="s">
        <v>52</v>
      </c>
      <c r="B14" s="0" t="n">
        <v>2</v>
      </c>
      <c r="C14" s="0" t="s">
        <v>31</v>
      </c>
      <c r="D14" s="0" t="s">
        <v>31</v>
      </c>
      <c r="E14" s="0" t="n">
        <v>2333</v>
      </c>
      <c r="F14" s="0" t="n">
        <v>3064</v>
      </c>
      <c r="G14" s="0" t="n">
        <v>5</v>
      </c>
      <c r="H14" s="0" t="n">
        <v>3</v>
      </c>
      <c r="I14" s="0" t="n">
        <v>3</v>
      </c>
      <c r="J14" s="0" t="n">
        <v>4</v>
      </c>
      <c r="K14" s="0" t="n">
        <v>0.7</v>
      </c>
      <c r="L14" s="1" t="n">
        <v>281023</v>
      </c>
      <c r="M14" s="0" t="n">
        <v>278001.99</v>
      </c>
      <c r="N14" s="0" t="n">
        <v>3021.01</v>
      </c>
      <c r="O14" s="0" t="n">
        <v>140140.18</v>
      </c>
      <c r="P14" s="1" t="n">
        <v>2.28</v>
      </c>
      <c r="Q14" s="0" t="n">
        <v>0</v>
      </c>
      <c r="R14" s="0" t="n">
        <v>29</v>
      </c>
      <c r="S14" s="0" t="s">
        <v>32</v>
      </c>
      <c r="T14" s="0" t="str">
        <f aca="false">IF(L14="inf","False","True")</f>
        <v>True</v>
      </c>
      <c r="U14" s="0" t="str">
        <f aca="false">IF(V14="inf","False","True")</f>
        <v>False</v>
      </c>
      <c r="V14" s="4" t="s">
        <v>37</v>
      </c>
      <c r="W14" s="4" t="s">
        <v>37</v>
      </c>
      <c r="X14" s="0" t="n">
        <v>3.16</v>
      </c>
      <c r="Y14" s="5" t="e">
        <f aca="false">V14-L14</f>
        <v>#VALUE!</v>
      </c>
      <c r="Z14" s="6" t="e">
        <f aca="false">Y14/L14</f>
        <v>#VALUE!</v>
      </c>
      <c r="AA14" s="3" t="n">
        <f aca="false">X14-P14</f>
        <v>0.88</v>
      </c>
      <c r="AB14" s="6" t="n">
        <f aca="false">AA14/P14</f>
        <v>0.385964912280702</v>
      </c>
    </row>
    <row r="15" customFormat="false" ht="12.75" hidden="false" customHeight="false" outlineLevel="0" collapsed="false">
      <c r="A15" s="0" t="s">
        <v>53</v>
      </c>
      <c r="B15" s="0" t="n">
        <v>3</v>
      </c>
      <c r="C15" s="0" t="s">
        <v>31</v>
      </c>
      <c r="D15" s="0" t="s">
        <v>31</v>
      </c>
      <c r="E15" s="0" t="n">
        <v>2333</v>
      </c>
      <c r="F15" s="0" t="n">
        <v>2960</v>
      </c>
      <c r="G15" s="0" t="n">
        <v>5</v>
      </c>
      <c r="H15" s="0" t="n">
        <v>3</v>
      </c>
      <c r="I15" s="0" t="n">
        <v>3</v>
      </c>
      <c r="J15" s="0" t="n">
        <v>4</v>
      </c>
      <c r="K15" s="0" t="n">
        <v>0.7</v>
      </c>
      <c r="L15" s="1" t="n">
        <v>365980.61</v>
      </c>
      <c r="M15" s="0" t="n">
        <v>363021.58</v>
      </c>
      <c r="N15" s="0" t="n">
        <v>2959.02</v>
      </c>
      <c r="O15" s="0" t="n">
        <v>139423.98</v>
      </c>
      <c r="P15" s="1" t="n">
        <v>1.63</v>
      </c>
      <c r="Q15" s="0" t="n">
        <v>0</v>
      </c>
      <c r="R15" s="0" t="n">
        <v>2</v>
      </c>
      <c r="S15" s="0" t="s">
        <v>32</v>
      </c>
      <c r="T15" s="0" t="str">
        <f aca="false">IF(L15="inf","False","True")</f>
        <v>True</v>
      </c>
      <c r="U15" s="0" t="str">
        <f aca="false">IF(V15="inf","False","True")</f>
        <v>False</v>
      </c>
      <c r="V15" s="4" t="s">
        <v>37</v>
      </c>
      <c r="W15" s="4" t="s">
        <v>37</v>
      </c>
      <c r="X15" s="0" t="n">
        <v>2.92</v>
      </c>
      <c r="Y15" s="5" t="e">
        <f aca="false">V15-L15</f>
        <v>#VALUE!</v>
      </c>
      <c r="Z15" s="6" t="e">
        <f aca="false">Y15/L15</f>
        <v>#VALUE!</v>
      </c>
      <c r="AA15" s="3" t="n">
        <f aca="false">X15-P15</f>
        <v>1.29</v>
      </c>
      <c r="AB15" s="6" t="n">
        <f aca="false">AA15/P15</f>
        <v>0.791411042944785</v>
      </c>
    </row>
    <row r="16" customFormat="false" ht="12.75" hidden="false" customHeight="false" outlineLevel="0" collapsed="false">
      <c r="A16" s="0" t="s">
        <v>54</v>
      </c>
      <c r="B16" s="0" t="n">
        <v>4</v>
      </c>
      <c r="C16" s="0" t="s">
        <v>31</v>
      </c>
      <c r="D16" s="0" t="s">
        <v>31</v>
      </c>
      <c r="E16" s="0" t="n">
        <v>2333</v>
      </c>
      <c r="F16" s="0" t="n">
        <v>3204</v>
      </c>
      <c r="G16" s="0" t="n">
        <v>5</v>
      </c>
      <c r="H16" s="0" t="n">
        <v>3</v>
      </c>
      <c r="I16" s="0" t="n">
        <v>3</v>
      </c>
      <c r="J16" s="0" t="n">
        <v>4</v>
      </c>
      <c r="K16" s="0" t="n">
        <v>0.7</v>
      </c>
      <c r="L16" s="1" t="n">
        <v>3204</v>
      </c>
      <c r="M16" s="0" t="n">
        <v>0</v>
      </c>
      <c r="N16" s="0" t="n">
        <v>3204</v>
      </c>
      <c r="O16" s="0" t="n">
        <v>147890</v>
      </c>
      <c r="P16" s="1" t="n">
        <v>1.11</v>
      </c>
      <c r="Q16" s="0" t="n">
        <v>0</v>
      </c>
      <c r="R16" s="0" t="n">
        <v>1</v>
      </c>
      <c r="S16" s="0" t="s">
        <v>42</v>
      </c>
      <c r="T16" s="0" t="str">
        <f aca="false">IF(L16="inf","False","True")</f>
        <v>True</v>
      </c>
      <c r="U16" s="0" t="str">
        <f aca="false">IF(V16="inf","False","True")</f>
        <v>True</v>
      </c>
      <c r="V16" s="4" t="n">
        <v>211224.67</v>
      </c>
      <c r="W16" s="4" t="n">
        <v>135560.18</v>
      </c>
      <c r="X16" s="0" t="n">
        <v>2.9</v>
      </c>
      <c r="Y16" s="5" t="n">
        <f aca="false">V16-L16</f>
        <v>208020.67</v>
      </c>
      <c r="Z16" s="6" t="n">
        <f aca="false">Y16/L16</f>
        <v>64.9253027465668</v>
      </c>
      <c r="AA16" s="3" t="n">
        <f aca="false">X16-P16</f>
        <v>1.79</v>
      </c>
      <c r="AB16" s="6" t="n">
        <f aca="false">AA16/P16</f>
        <v>1.61261261261261</v>
      </c>
    </row>
    <row r="17" customFormat="false" ht="12.75" hidden="false" customHeight="false" outlineLevel="0" collapsed="false">
      <c r="A17" s="0" t="s">
        <v>55</v>
      </c>
      <c r="B17" s="0" t="n">
        <v>0</v>
      </c>
      <c r="C17" s="0" t="s">
        <v>31</v>
      </c>
      <c r="D17" s="0" t="s">
        <v>31</v>
      </c>
      <c r="E17" s="0" t="n">
        <v>3333</v>
      </c>
      <c r="F17" s="0" t="n">
        <v>3907</v>
      </c>
      <c r="G17" s="0" t="n">
        <v>5</v>
      </c>
      <c r="H17" s="0" t="n">
        <v>3</v>
      </c>
      <c r="I17" s="0" t="n">
        <v>3</v>
      </c>
      <c r="J17" s="0" t="n">
        <v>4</v>
      </c>
      <c r="K17" s="0" t="n">
        <v>0.7</v>
      </c>
      <c r="L17" s="1" t="n">
        <v>109989</v>
      </c>
      <c r="M17" s="0" t="n">
        <v>106082</v>
      </c>
      <c r="N17" s="0" t="n">
        <v>3907</v>
      </c>
      <c r="O17" s="0" t="n">
        <v>181368</v>
      </c>
      <c r="P17" s="1" t="n">
        <v>2.83</v>
      </c>
      <c r="Q17" s="0" t="n">
        <v>0</v>
      </c>
      <c r="R17" s="0" t="n">
        <v>24</v>
      </c>
      <c r="S17" s="0" t="s">
        <v>32</v>
      </c>
      <c r="T17" s="0" t="str">
        <f aca="false">IF(L17="inf","False","True")</f>
        <v>True</v>
      </c>
      <c r="U17" s="0" t="str">
        <f aca="false">IF(V17="inf","False","True")</f>
        <v>False</v>
      </c>
      <c r="V17" s="4" t="s">
        <v>37</v>
      </c>
      <c r="W17" s="4" t="s">
        <v>37</v>
      </c>
      <c r="X17" s="0" t="n">
        <v>3.11</v>
      </c>
      <c r="Y17" s="5" t="e">
        <f aca="false">V17-L17</f>
        <v>#VALUE!</v>
      </c>
      <c r="Z17" s="6" t="e">
        <f aca="false">Y17/L17</f>
        <v>#VALUE!</v>
      </c>
      <c r="AA17" s="3" t="n">
        <f aca="false">X17-P17</f>
        <v>0.28</v>
      </c>
      <c r="AB17" s="6" t="n">
        <f aca="false">AA17/P17</f>
        <v>0.0989399293286218</v>
      </c>
    </row>
    <row r="18" customFormat="false" ht="12.75" hidden="false" customHeight="false" outlineLevel="0" collapsed="false">
      <c r="A18" s="0" t="s">
        <v>56</v>
      </c>
      <c r="B18" s="0" t="n">
        <v>1</v>
      </c>
      <c r="C18" s="0" t="s">
        <v>31</v>
      </c>
      <c r="D18" s="0" t="s">
        <v>31</v>
      </c>
      <c r="E18" s="0" t="n">
        <v>3333</v>
      </c>
      <c r="F18" s="0" t="n">
        <v>4547</v>
      </c>
      <c r="G18" s="0" t="n">
        <v>5</v>
      </c>
      <c r="H18" s="0" t="n">
        <v>3</v>
      </c>
      <c r="I18" s="0" t="n">
        <v>3</v>
      </c>
      <c r="J18" s="0" t="n">
        <v>4</v>
      </c>
      <c r="K18" s="0" t="n">
        <v>0.7</v>
      </c>
      <c r="L18" s="1" t="n">
        <v>469355.28</v>
      </c>
      <c r="M18" s="0" t="n">
        <v>465013.92</v>
      </c>
      <c r="N18" s="0" t="n">
        <v>4341.37</v>
      </c>
      <c r="O18" s="0" t="n">
        <v>197369.87</v>
      </c>
      <c r="P18" s="1" t="n">
        <v>2.01</v>
      </c>
      <c r="Q18" s="0" t="n">
        <v>0</v>
      </c>
      <c r="R18" s="0" t="n">
        <v>3</v>
      </c>
      <c r="S18" s="0" t="s">
        <v>32</v>
      </c>
      <c r="T18" s="0" t="str">
        <f aca="false">IF(L18="inf","False","True")</f>
        <v>True</v>
      </c>
      <c r="U18" s="0" t="str">
        <f aca="false">IF(V18="inf","False","True")</f>
        <v>True</v>
      </c>
      <c r="V18" s="4" t="n">
        <v>458119.01</v>
      </c>
      <c r="W18" s="4" t="n">
        <v>202154.7</v>
      </c>
      <c r="X18" s="0" t="n">
        <v>0.54</v>
      </c>
      <c r="Y18" s="5" t="n">
        <f aca="false">V18-L18</f>
        <v>-11236.27</v>
      </c>
      <c r="Z18" s="6" t="n">
        <f aca="false">Y18/L18</f>
        <v>-0.0239397967356413</v>
      </c>
      <c r="AA18" s="3" t="n">
        <f aca="false">X18-P18</f>
        <v>-1.47</v>
      </c>
      <c r="AB18" s="6" t="n">
        <f aca="false">AA18/P18</f>
        <v>-0.73134328358209</v>
      </c>
    </row>
    <row r="19" customFormat="false" ht="12.75" hidden="false" customHeight="false" outlineLevel="0" collapsed="false">
      <c r="A19" s="0" t="s">
        <v>57</v>
      </c>
      <c r="B19" s="0" t="n">
        <v>2</v>
      </c>
      <c r="C19" s="0" t="s">
        <v>31</v>
      </c>
      <c r="D19" s="0" t="s">
        <v>31</v>
      </c>
      <c r="E19" s="0" t="n">
        <v>3333</v>
      </c>
      <c r="F19" s="0" t="n">
        <v>4380</v>
      </c>
      <c r="G19" s="0" t="n">
        <v>5</v>
      </c>
      <c r="H19" s="0" t="n">
        <v>3</v>
      </c>
      <c r="I19" s="0" t="n">
        <v>3</v>
      </c>
      <c r="J19" s="0" t="n">
        <v>4</v>
      </c>
      <c r="K19" s="0" t="n">
        <v>0.7</v>
      </c>
      <c r="L19" s="1" t="n">
        <v>405363.13</v>
      </c>
      <c r="M19" s="0" t="n">
        <v>401047.56</v>
      </c>
      <c r="N19" s="0" t="n">
        <v>4315.57</v>
      </c>
      <c r="O19" s="0" t="n">
        <v>200312.11</v>
      </c>
      <c r="P19" s="1" t="n">
        <v>1.54</v>
      </c>
      <c r="Q19" s="0" t="n">
        <v>0</v>
      </c>
      <c r="R19" s="0" t="n">
        <v>4</v>
      </c>
      <c r="S19" s="0" t="s">
        <v>32</v>
      </c>
      <c r="T19" s="0" t="str">
        <f aca="false">IF(L19="inf","False","True")</f>
        <v>True</v>
      </c>
      <c r="U19" s="0" t="str">
        <f aca="false">IF(V19="inf","False","True")</f>
        <v>True</v>
      </c>
      <c r="V19" s="4" t="n">
        <v>257354.59</v>
      </c>
      <c r="W19" s="4" t="n">
        <v>205939.31</v>
      </c>
      <c r="X19" s="0" t="n">
        <v>0.1</v>
      </c>
      <c r="Y19" s="5" t="n">
        <f aca="false">V19-L19</f>
        <v>-148008.54</v>
      </c>
      <c r="Z19" s="6" t="n">
        <f aca="false">Y19/L19</f>
        <v>-0.365125807075745</v>
      </c>
      <c r="AA19" s="3" t="n">
        <f aca="false">X19-P19</f>
        <v>-1.44</v>
      </c>
      <c r="AB19" s="6" t="n">
        <f aca="false">AA19/P19</f>
        <v>-0.935064935064935</v>
      </c>
    </row>
    <row r="20" customFormat="false" ht="12.75" hidden="false" customHeight="false" outlineLevel="0" collapsed="false">
      <c r="A20" s="0" t="s">
        <v>58</v>
      </c>
      <c r="B20" s="0" t="n">
        <v>3</v>
      </c>
      <c r="C20" s="0" t="s">
        <v>31</v>
      </c>
      <c r="D20" s="0" t="s">
        <v>31</v>
      </c>
      <c r="E20" s="0" t="n">
        <v>3333</v>
      </c>
      <c r="F20" s="0" t="n">
        <v>4230</v>
      </c>
      <c r="G20" s="0" t="n">
        <v>5</v>
      </c>
      <c r="H20" s="0" t="n">
        <v>3</v>
      </c>
      <c r="I20" s="0" t="n">
        <v>3</v>
      </c>
      <c r="J20" s="0" t="n">
        <v>4</v>
      </c>
      <c r="K20" s="0" t="n">
        <v>0.7</v>
      </c>
      <c r="L20" s="1" t="n">
        <v>474223.21</v>
      </c>
      <c r="M20" s="0" t="n">
        <v>470083.39</v>
      </c>
      <c r="N20" s="0" t="n">
        <v>4139.82</v>
      </c>
      <c r="O20" s="0" t="n">
        <v>202034.05</v>
      </c>
      <c r="P20" s="1" t="n">
        <v>1.66</v>
      </c>
      <c r="Q20" s="0" t="n">
        <v>0</v>
      </c>
      <c r="R20" s="0" t="n">
        <v>3</v>
      </c>
      <c r="S20" s="0" t="s">
        <v>32</v>
      </c>
      <c r="T20" s="0" t="str">
        <f aca="false">IF(L20="inf","False","True")</f>
        <v>True</v>
      </c>
      <c r="U20" s="0" t="str">
        <f aca="false">IF(V20="inf","False","True")</f>
        <v>True</v>
      </c>
      <c r="V20" s="4" t="n">
        <v>465979.65</v>
      </c>
      <c r="W20" s="4" t="n">
        <v>200455.81</v>
      </c>
      <c r="X20" s="0" t="n">
        <v>1.5</v>
      </c>
      <c r="Y20" s="5" t="n">
        <f aca="false">V20-L20</f>
        <v>-8243.56</v>
      </c>
      <c r="Z20" s="6" t="n">
        <f aca="false">Y20/L20</f>
        <v>-0.0173832908768847</v>
      </c>
      <c r="AA20" s="3" t="n">
        <f aca="false">X20-P20</f>
        <v>-0.16</v>
      </c>
      <c r="AB20" s="6" t="n">
        <f aca="false">AA20/P20</f>
        <v>-0.0963855421686747</v>
      </c>
    </row>
    <row r="21" customFormat="false" ht="12.75" hidden="false" customHeight="false" outlineLevel="0" collapsed="false">
      <c r="A21" s="0" t="s">
        <v>59</v>
      </c>
      <c r="B21" s="0" t="n">
        <v>4</v>
      </c>
      <c r="C21" s="0" t="s">
        <v>31</v>
      </c>
      <c r="D21" s="0" t="s">
        <v>31</v>
      </c>
      <c r="E21" s="0" t="n">
        <v>3333</v>
      </c>
      <c r="F21" s="0" t="n">
        <v>4578</v>
      </c>
      <c r="G21" s="0" t="n">
        <v>5</v>
      </c>
      <c r="H21" s="0" t="n">
        <v>3</v>
      </c>
      <c r="I21" s="0" t="n">
        <v>3</v>
      </c>
      <c r="J21" s="0" t="n">
        <v>4</v>
      </c>
      <c r="K21" s="0" t="n">
        <v>0.7</v>
      </c>
      <c r="L21" s="1" t="n">
        <v>4578</v>
      </c>
      <c r="M21" s="0" t="n">
        <v>0</v>
      </c>
      <c r="N21" s="0" t="n">
        <v>4578</v>
      </c>
      <c r="O21" s="0" t="n">
        <v>211302</v>
      </c>
      <c r="P21" s="1" t="n">
        <v>1.08</v>
      </c>
      <c r="Q21" s="0" t="n">
        <v>0</v>
      </c>
      <c r="R21" s="0" t="n">
        <v>1</v>
      </c>
      <c r="S21" s="0" t="s">
        <v>42</v>
      </c>
      <c r="T21" s="0" t="str">
        <f aca="false">IF(L21="inf","False","True")</f>
        <v>True</v>
      </c>
      <c r="U21" s="0" t="str">
        <f aca="false">IF(V21="inf","False","True")</f>
        <v>True</v>
      </c>
      <c r="V21" s="4" t="n">
        <v>297274.34</v>
      </c>
      <c r="W21" s="4" t="n">
        <v>193754.82</v>
      </c>
      <c r="X21" s="0" t="n">
        <v>0.92</v>
      </c>
      <c r="Y21" s="5" t="n">
        <f aca="false">V21-L21</f>
        <v>292696.34</v>
      </c>
      <c r="Z21" s="6" t="n">
        <f aca="false">Y21/L21</f>
        <v>63.9354172127567</v>
      </c>
      <c r="AA21" s="3" t="n">
        <f aca="false">X21-P21</f>
        <v>-0.16</v>
      </c>
      <c r="AB21" s="6" t="n">
        <f aca="false">AA21/P21</f>
        <v>-0.148148148148148</v>
      </c>
    </row>
    <row r="22" customFormat="false" ht="12.75" hidden="false" customHeight="false" outlineLevel="0" collapsed="false">
      <c r="A22" s="0" t="s">
        <v>60</v>
      </c>
      <c r="B22" s="0" t="n">
        <v>0</v>
      </c>
      <c r="C22" s="0" t="s">
        <v>31</v>
      </c>
      <c r="D22" s="0" t="s">
        <v>31</v>
      </c>
      <c r="E22" s="0" t="n">
        <v>1000</v>
      </c>
      <c r="F22" s="0" t="n">
        <v>1473</v>
      </c>
      <c r="G22" s="0" t="n">
        <v>5</v>
      </c>
      <c r="H22" s="0" t="n">
        <v>3</v>
      </c>
      <c r="I22" s="0" t="n">
        <v>3</v>
      </c>
      <c r="J22" s="0" t="n">
        <v>8</v>
      </c>
      <c r="K22" s="0" t="n">
        <v>0.7</v>
      </c>
      <c r="L22" s="1" t="n">
        <v>1473</v>
      </c>
      <c r="M22" s="0" t="n">
        <v>0</v>
      </c>
      <c r="N22" s="0" t="n">
        <v>1473</v>
      </c>
      <c r="O22" s="0" t="n">
        <v>62802</v>
      </c>
      <c r="P22" s="1" t="n">
        <v>1.53</v>
      </c>
      <c r="Q22" s="0" t="n">
        <v>0</v>
      </c>
      <c r="R22" s="0" t="n">
        <v>1</v>
      </c>
      <c r="S22" s="0" t="s">
        <v>42</v>
      </c>
      <c r="T22" s="0" t="str">
        <f aca="false">IF(L22="inf","False","True")</f>
        <v>True</v>
      </c>
      <c r="U22" s="0" t="str">
        <f aca="false">IF(V22="inf","False","True")</f>
        <v>True</v>
      </c>
      <c r="V22" s="4" t="n">
        <v>123193.8</v>
      </c>
      <c r="W22" s="4" t="n">
        <v>61785.52</v>
      </c>
      <c r="X22" s="0" t="n">
        <v>0.31</v>
      </c>
      <c r="Y22" s="5" t="n">
        <f aca="false">V22-L22</f>
        <v>121720.8</v>
      </c>
      <c r="Z22" s="6" t="n">
        <f aca="false">Y22/L22</f>
        <v>82.6346232179226</v>
      </c>
      <c r="AA22" s="3" t="n">
        <f aca="false">X22-P22</f>
        <v>-1.22</v>
      </c>
      <c r="AB22" s="6" t="n">
        <f aca="false">AA22/P22</f>
        <v>-0.797385620915033</v>
      </c>
    </row>
    <row r="23" customFormat="false" ht="12.75" hidden="false" customHeight="false" outlineLevel="0" collapsed="false">
      <c r="A23" s="0" t="s">
        <v>61</v>
      </c>
      <c r="B23" s="0" t="n">
        <v>1</v>
      </c>
      <c r="C23" s="0" t="s">
        <v>31</v>
      </c>
      <c r="D23" s="0" t="s">
        <v>31</v>
      </c>
      <c r="E23" s="0" t="n">
        <v>1000</v>
      </c>
      <c r="F23" s="0" t="n">
        <v>1628</v>
      </c>
      <c r="G23" s="0" t="n">
        <v>5</v>
      </c>
      <c r="H23" s="0" t="n">
        <v>3</v>
      </c>
      <c r="I23" s="0" t="n">
        <v>3</v>
      </c>
      <c r="J23" s="0" t="n">
        <v>8</v>
      </c>
      <c r="K23" s="0" t="n">
        <v>0.7</v>
      </c>
      <c r="L23" s="1" t="n">
        <v>1628</v>
      </c>
      <c r="M23" s="0" t="n">
        <v>0</v>
      </c>
      <c r="N23" s="0" t="n">
        <v>1628</v>
      </c>
      <c r="O23" s="0" t="n">
        <v>54648</v>
      </c>
      <c r="P23" s="1" t="n">
        <v>1.51</v>
      </c>
      <c r="Q23" s="0" t="n">
        <v>0</v>
      </c>
      <c r="R23" s="0" t="n">
        <v>1</v>
      </c>
      <c r="S23" s="0" t="s">
        <v>42</v>
      </c>
      <c r="T23" s="0" t="str">
        <f aca="false">IF(L23="inf","False","True")</f>
        <v>True</v>
      </c>
      <c r="U23" s="0" t="str">
        <f aca="false">IF(V23="inf","False","True")</f>
        <v>True</v>
      </c>
      <c r="V23" s="4" t="n">
        <v>173503.45</v>
      </c>
      <c r="W23" s="4" t="n">
        <v>49441.39</v>
      </c>
      <c r="X23" s="0" t="n">
        <v>3.54</v>
      </c>
      <c r="Y23" s="5" t="n">
        <f aca="false">V23-L23</f>
        <v>171875.45</v>
      </c>
      <c r="Z23" s="6" t="n">
        <f aca="false">Y23/L23</f>
        <v>105.574600737101</v>
      </c>
      <c r="AA23" s="3" t="n">
        <f aca="false">X23-P23</f>
        <v>2.03</v>
      </c>
      <c r="AB23" s="6" t="n">
        <f aca="false">AA23/P23</f>
        <v>1.34437086092715</v>
      </c>
    </row>
    <row r="24" customFormat="false" ht="12.75" hidden="false" customHeight="false" outlineLevel="0" collapsed="false">
      <c r="A24" s="0" t="s">
        <v>62</v>
      </c>
      <c r="B24" s="0" t="n">
        <v>2</v>
      </c>
      <c r="C24" s="0" t="s">
        <v>31</v>
      </c>
      <c r="D24" s="0" t="s">
        <v>31</v>
      </c>
      <c r="E24" s="0" t="n">
        <v>1000</v>
      </c>
      <c r="F24" s="0" t="n">
        <v>1557</v>
      </c>
      <c r="G24" s="0" t="n">
        <v>5</v>
      </c>
      <c r="H24" s="0" t="n">
        <v>3</v>
      </c>
      <c r="I24" s="0" t="n">
        <v>3</v>
      </c>
      <c r="J24" s="0" t="n">
        <v>8</v>
      </c>
      <c r="K24" s="0" t="n">
        <v>0.7</v>
      </c>
      <c r="L24" s="1" t="n">
        <v>1557</v>
      </c>
      <c r="M24" s="0" t="n">
        <v>0</v>
      </c>
      <c r="N24" s="0" t="n">
        <v>1557</v>
      </c>
      <c r="O24" s="0" t="n">
        <v>62075</v>
      </c>
      <c r="P24" s="1" t="n">
        <v>1.51</v>
      </c>
      <c r="Q24" s="0" t="n">
        <v>0</v>
      </c>
      <c r="R24" s="0" t="n">
        <v>1</v>
      </c>
      <c r="S24" s="0" t="s">
        <v>42</v>
      </c>
      <c r="T24" s="0" t="str">
        <f aca="false">IF(L24="inf","False","True")</f>
        <v>True</v>
      </c>
      <c r="U24" s="0" t="str">
        <f aca="false">IF(V24="inf","False","True")</f>
        <v>True</v>
      </c>
      <c r="V24" s="4" t="n">
        <v>122009.09</v>
      </c>
      <c r="W24" s="4" t="n">
        <v>55619.03</v>
      </c>
      <c r="X24" s="0" t="n">
        <v>0.61</v>
      </c>
      <c r="Y24" s="5" t="n">
        <f aca="false">V24-L24</f>
        <v>120452.09</v>
      </c>
      <c r="Z24" s="6" t="n">
        <f aca="false">Y24/L24</f>
        <v>77.3616506101477</v>
      </c>
      <c r="AA24" s="3" t="n">
        <f aca="false">X24-P24</f>
        <v>-0.9</v>
      </c>
      <c r="AB24" s="6" t="n">
        <f aca="false">AA24/P24</f>
        <v>-0.596026490066225</v>
      </c>
    </row>
    <row r="25" customFormat="false" ht="12.75" hidden="false" customHeight="false" outlineLevel="0" collapsed="false">
      <c r="A25" s="0" t="s">
        <v>63</v>
      </c>
      <c r="B25" s="0" t="n">
        <v>3</v>
      </c>
      <c r="C25" s="0" t="s">
        <v>31</v>
      </c>
      <c r="D25" s="0" t="s">
        <v>31</v>
      </c>
      <c r="E25" s="0" t="n">
        <v>1000</v>
      </c>
      <c r="F25" s="0" t="n">
        <v>1452</v>
      </c>
      <c r="G25" s="0" t="n">
        <v>5</v>
      </c>
      <c r="H25" s="0" t="n">
        <v>3</v>
      </c>
      <c r="I25" s="0" t="n">
        <v>3</v>
      </c>
      <c r="J25" s="0" t="n">
        <v>8</v>
      </c>
      <c r="K25" s="0" t="n">
        <v>0.7</v>
      </c>
      <c r="L25" s="1" t="n">
        <v>1452</v>
      </c>
      <c r="M25" s="0" t="n">
        <v>0</v>
      </c>
      <c r="N25" s="0" t="n">
        <v>1452</v>
      </c>
      <c r="O25" s="0" t="n">
        <v>49441</v>
      </c>
      <c r="P25" s="1" t="n">
        <v>1.51</v>
      </c>
      <c r="Q25" s="0" t="n">
        <v>0</v>
      </c>
      <c r="R25" s="0" t="n">
        <v>1</v>
      </c>
      <c r="S25" s="0" t="s">
        <v>42</v>
      </c>
      <c r="T25" s="0" t="str">
        <f aca="false">IF(L25="inf","False","True")</f>
        <v>True</v>
      </c>
      <c r="U25" s="0" t="str">
        <f aca="false">IF(V25="inf","False","True")</f>
        <v>True</v>
      </c>
      <c r="V25" s="4" t="n">
        <v>960.58</v>
      </c>
      <c r="W25" s="4" t="n">
        <v>49441</v>
      </c>
      <c r="X25" s="0" t="n">
        <v>0</v>
      </c>
      <c r="Y25" s="5" t="n">
        <f aca="false">V25-L25</f>
        <v>-491.42</v>
      </c>
      <c r="Z25" s="6" t="n">
        <f aca="false">Y25/L25</f>
        <v>-0.338443526170799</v>
      </c>
      <c r="AA25" s="3" t="n">
        <f aca="false">X25-P25</f>
        <v>-1.51</v>
      </c>
      <c r="AB25" s="6" t="n">
        <f aca="false">AA25/P25</f>
        <v>-1</v>
      </c>
    </row>
    <row r="26" customFormat="false" ht="12.75" hidden="false" customHeight="false" outlineLevel="0" collapsed="false">
      <c r="A26" s="0" t="s">
        <v>64</v>
      </c>
      <c r="B26" s="0" t="n">
        <v>4</v>
      </c>
      <c r="C26" s="0" t="s">
        <v>31</v>
      </c>
      <c r="D26" s="0" t="s">
        <v>31</v>
      </c>
      <c r="E26" s="0" t="n">
        <v>1000</v>
      </c>
      <c r="F26" s="0" t="n">
        <v>1548</v>
      </c>
      <c r="G26" s="0" t="n">
        <v>5</v>
      </c>
      <c r="H26" s="0" t="n">
        <v>3</v>
      </c>
      <c r="I26" s="0" t="n">
        <v>3</v>
      </c>
      <c r="J26" s="0" t="n">
        <v>8</v>
      </c>
      <c r="K26" s="0" t="n">
        <v>0.7</v>
      </c>
      <c r="L26" s="1" t="n">
        <v>1548</v>
      </c>
      <c r="M26" s="0" t="n">
        <v>0</v>
      </c>
      <c r="N26" s="0" t="n">
        <v>1548</v>
      </c>
      <c r="O26" s="0" t="n">
        <v>57110</v>
      </c>
      <c r="P26" s="1" t="n">
        <v>1.51</v>
      </c>
      <c r="Q26" s="0" t="n">
        <v>0</v>
      </c>
      <c r="R26" s="0" t="n">
        <v>1</v>
      </c>
      <c r="S26" s="0" t="s">
        <v>42</v>
      </c>
      <c r="T26" s="0" t="str">
        <f aca="false">IF(L26="inf","False","True")</f>
        <v>True</v>
      </c>
      <c r="U26" s="0" t="str">
        <f aca="false">IF(V26="inf","False","True")</f>
        <v>True</v>
      </c>
      <c r="V26" s="4" t="n">
        <v>10035.65</v>
      </c>
      <c r="W26" s="4" t="n">
        <v>56461.13</v>
      </c>
      <c r="X26" s="0" t="n">
        <v>4.44</v>
      </c>
      <c r="Y26" s="5" t="n">
        <f aca="false">V26-L26</f>
        <v>8487.65</v>
      </c>
      <c r="Z26" s="6" t="n">
        <f aca="false">Y26/L26</f>
        <v>5.48297803617571</v>
      </c>
      <c r="AA26" s="3" t="n">
        <f aca="false">X26-P26</f>
        <v>2.93</v>
      </c>
      <c r="AB26" s="6" t="n">
        <f aca="false">AA26/P26</f>
        <v>1.94039735099338</v>
      </c>
    </row>
    <row r="27" customFormat="false" ht="12.75" hidden="false" customHeight="false" outlineLevel="0" collapsed="false">
      <c r="A27" s="0" t="s">
        <v>65</v>
      </c>
      <c r="B27" s="0" t="n">
        <v>0</v>
      </c>
      <c r="C27" s="0" t="s">
        <v>31</v>
      </c>
      <c r="D27" s="0" t="s">
        <v>31</v>
      </c>
      <c r="E27" s="0" t="n">
        <v>1666</v>
      </c>
      <c r="F27" s="0" t="n">
        <v>2456</v>
      </c>
      <c r="G27" s="0" t="n">
        <v>5</v>
      </c>
      <c r="H27" s="0" t="n">
        <v>3</v>
      </c>
      <c r="I27" s="0" t="n">
        <v>3</v>
      </c>
      <c r="J27" s="0" t="n">
        <v>8</v>
      </c>
      <c r="K27" s="0" t="n">
        <v>0.7</v>
      </c>
      <c r="L27" s="1" t="n">
        <v>2456</v>
      </c>
      <c r="M27" s="0" t="n">
        <v>0</v>
      </c>
      <c r="N27" s="0" t="n">
        <v>2456</v>
      </c>
      <c r="O27" s="0" t="n">
        <v>104673</v>
      </c>
      <c r="P27" s="1" t="n">
        <v>1.47</v>
      </c>
      <c r="Q27" s="0" t="n">
        <v>0</v>
      </c>
      <c r="R27" s="0" t="n">
        <v>1</v>
      </c>
      <c r="S27" s="0" t="s">
        <v>42</v>
      </c>
      <c r="T27" s="0" t="str">
        <f aca="false">IF(L27="inf","False","True")</f>
        <v>True</v>
      </c>
      <c r="U27" s="0" t="str">
        <f aca="false">IF(V27="inf","False","True")</f>
        <v>True</v>
      </c>
      <c r="V27" s="4" t="n">
        <v>39099.77</v>
      </c>
      <c r="W27" s="4" t="n">
        <v>103880.34</v>
      </c>
      <c r="X27" s="0" t="n">
        <v>4.46</v>
      </c>
      <c r="Y27" s="5" t="n">
        <f aca="false">V27-L27</f>
        <v>36643.77</v>
      </c>
      <c r="Z27" s="6" t="n">
        <f aca="false">Y27/L27</f>
        <v>14.9201017915309</v>
      </c>
      <c r="AA27" s="3" t="n">
        <f aca="false">X27-P27</f>
        <v>2.99</v>
      </c>
      <c r="AB27" s="6" t="n">
        <f aca="false">AA27/P27</f>
        <v>2.03401360544218</v>
      </c>
    </row>
    <row r="28" customFormat="false" ht="12.75" hidden="false" customHeight="false" outlineLevel="0" collapsed="false">
      <c r="A28" s="0" t="s">
        <v>66</v>
      </c>
      <c r="B28" s="0" t="n">
        <v>1</v>
      </c>
      <c r="C28" s="0" t="s">
        <v>31</v>
      </c>
      <c r="D28" s="0" t="s">
        <v>31</v>
      </c>
      <c r="E28" s="0" t="n">
        <v>1666</v>
      </c>
      <c r="F28" s="0" t="n">
        <v>2713</v>
      </c>
      <c r="G28" s="0" t="n">
        <v>5</v>
      </c>
      <c r="H28" s="0" t="n">
        <v>3</v>
      </c>
      <c r="I28" s="0" t="n">
        <v>3</v>
      </c>
      <c r="J28" s="0" t="n">
        <v>8</v>
      </c>
      <c r="K28" s="0" t="n">
        <v>0.7</v>
      </c>
      <c r="L28" s="1" t="n">
        <v>2713</v>
      </c>
      <c r="M28" s="0" t="n">
        <v>0</v>
      </c>
      <c r="N28" s="0" t="n">
        <v>2713</v>
      </c>
      <c r="O28" s="0" t="n">
        <v>91103</v>
      </c>
      <c r="P28" s="1" t="n">
        <v>1.48</v>
      </c>
      <c r="Q28" s="0" t="n">
        <v>0</v>
      </c>
      <c r="R28" s="0" t="n">
        <v>1</v>
      </c>
      <c r="S28" s="0" t="s">
        <v>42</v>
      </c>
      <c r="T28" s="0" t="str">
        <f aca="false">IF(L28="inf","False","True")</f>
        <v>True</v>
      </c>
      <c r="U28" s="0" t="str">
        <f aca="false">IF(V28="inf","False","True")</f>
        <v>True</v>
      </c>
      <c r="V28" s="4" t="n">
        <v>2776.96</v>
      </c>
      <c r="W28" s="4" t="n">
        <v>91103</v>
      </c>
      <c r="X28" s="0" t="n">
        <v>3.96</v>
      </c>
      <c r="Y28" s="5" t="n">
        <f aca="false">V28-L28</f>
        <v>63.96</v>
      </c>
      <c r="Z28" s="6" t="n">
        <f aca="false">Y28/L28</f>
        <v>0.0235753778105419</v>
      </c>
      <c r="AA28" s="3" t="n">
        <f aca="false">X28-P28</f>
        <v>2.48</v>
      </c>
      <c r="AB28" s="6" t="n">
        <f aca="false">AA28/P28</f>
        <v>1.67567567567568</v>
      </c>
    </row>
    <row r="29" customFormat="false" ht="12.75" hidden="false" customHeight="false" outlineLevel="0" collapsed="false">
      <c r="A29" s="0" t="s">
        <v>67</v>
      </c>
      <c r="B29" s="0" t="n">
        <v>2</v>
      </c>
      <c r="C29" s="0" t="s">
        <v>31</v>
      </c>
      <c r="D29" s="0" t="s">
        <v>31</v>
      </c>
      <c r="E29" s="0" t="n">
        <v>1666</v>
      </c>
      <c r="F29" s="0" t="n">
        <v>2596</v>
      </c>
      <c r="G29" s="0" t="n">
        <v>5</v>
      </c>
      <c r="H29" s="0" t="n">
        <v>3</v>
      </c>
      <c r="I29" s="0" t="n">
        <v>3</v>
      </c>
      <c r="J29" s="0" t="n">
        <v>8</v>
      </c>
      <c r="K29" s="0" t="n">
        <v>0.7</v>
      </c>
      <c r="L29" s="1" t="n">
        <v>2596</v>
      </c>
      <c r="M29" s="0" t="n">
        <v>0</v>
      </c>
      <c r="N29" s="0" t="n">
        <v>2596</v>
      </c>
      <c r="O29" s="0" t="n">
        <v>103450</v>
      </c>
      <c r="P29" s="1" t="n">
        <v>1.54</v>
      </c>
      <c r="Q29" s="0" t="n">
        <v>0</v>
      </c>
      <c r="R29" s="0" t="n">
        <v>1</v>
      </c>
      <c r="S29" s="0" t="s">
        <v>42</v>
      </c>
      <c r="T29" s="0" t="str">
        <f aca="false">IF(L29="inf","False","True")</f>
        <v>True</v>
      </c>
      <c r="U29" s="0" t="str">
        <f aca="false">IF(V29="inf","False","True")</f>
        <v>True</v>
      </c>
      <c r="V29" s="4" t="n">
        <v>178797.95</v>
      </c>
      <c r="W29" s="4" t="n">
        <v>93927.75</v>
      </c>
      <c r="X29" s="0" t="n">
        <v>4.15</v>
      </c>
      <c r="Y29" s="5" t="n">
        <f aca="false">V29-L29</f>
        <v>176201.95</v>
      </c>
      <c r="Z29" s="6" t="n">
        <f aca="false">Y29/L29</f>
        <v>67.8744029275809</v>
      </c>
      <c r="AA29" s="3" t="n">
        <f aca="false">X29-P29</f>
        <v>2.61</v>
      </c>
      <c r="AB29" s="6" t="n">
        <f aca="false">AA29/P29</f>
        <v>1.6948051948052</v>
      </c>
    </row>
    <row r="30" customFormat="false" ht="12.75" hidden="false" customHeight="false" outlineLevel="0" collapsed="false">
      <c r="A30" s="0" t="s">
        <v>68</v>
      </c>
      <c r="B30" s="0" t="n">
        <v>3</v>
      </c>
      <c r="C30" s="0" t="s">
        <v>31</v>
      </c>
      <c r="D30" s="0" t="s">
        <v>31</v>
      </c>
      <c r="E30" s="0" t="n">
        <v>1666</v>
      </c>
      <c r="F30" s="0" t="n">
        <v>2420</v>
      </c>
      <c r="G30" s="0" t="n">
        <v>5</v>
      </c>
      <c r="H30" s="0" t="n">
        <v>3</v>
      </c>
      <c r="I30" s="0" t="n">
        <v>3</v>
      </c>
      <c r="J30" s="0" t="n">
        <v>8</v>
      </c>
      <c r="K30" s="0" t="n">
        <v>0.7</v>
      </c>
      <c r="L30" s="1" t="n">
        <v>2420</v>
      </c>
      <c r="M30" s="0" t="n">
        <v>0</v>
      </c>
      <c r="N30" s="0" t="n">
        <v>2420</v>
      </c>
      <c r="O30" s="0" t="n">
        <v>82416</v>
      </c>
      <c r="P30" s="1" t="n">
        <v>1.53</v>
      </c>
      <c r="Q30" s="0" t="n">
        <v>0</v>
      </c>
      <c r="R30" s="0" t="n">
        <v>1</v>
      </c>
      <c r="S30" s="0" t="s">
        <v>42</v>
      </c>
      <c r="T30" s="0" t="str">
        <f aca="false">IF(L30="inf","False","True")</f>
        <v>True</v>
      </c>
      <c r="U30" s="0" t="str">
        <f aca="false">IF(V30="inf","False","True")</f>
        <v>True</v>
      </c>
      <c r="V30" s="4" t="n">
        <v>1521.95</v>
      </c>
      <c r="W30" s="4" t="n">
        <v>82416</v>
      </c>
      <c r="X30" s="0" t="n">
        <v>2.26</v>
      </c>
      <c r="Y30" s="5" t="n">
        <f aca="false">V30-L30</f>
        <v>-898.05</v>
      </c>
      <c r="Z30" s="6" t="n">
        <f aca="false">Y30/L30</f>
        <v>-0.371095041322314</v>
      </c>
      <c r="AA30" s="3" t="n">
        <f aca="false">X30-P30</f>
        <v>0.73</v>
      </c>
      <c r="AB30" s="6" t="n">
        <f aca="false">AA30/P30</f>
        <v>0.477124183006536</v>
      </c>
    </row>
    <row r="31" customFormat="false" ht="12.75" hidden="false" customHeight="false" outlineLevel="0" collapsed="false">
      <c r="A31" s="0" t="s">
        <v>69</v>
      </c>
      <c r="B31" s="0" t="n">
        <v>4</v>
      </c>
      <c r="C31" s="0" t="s">
        <v>31</v>
      </c>
      <c r="D31" s="0" t="s">
        <v>31</v>
      </c>
      <c r="E31" s="0" t="n">
        <v>1666</v>
      </c>
      <c r="F31" s="0" t="n">
        <v>2581</v>
      </c>
      <c r="G31" s="0" t="n">
        <v>5</v>
      </c>
      <c r="H31" s="0" t="n">
        <v>3</v>
      </c>
      <c r="I31" s="0" t="n">
        <v>3</v>
      </c>
      <c r="J31" s="0" t="n">
        <v>8</v>
      </c>
      <c r="K31" s="0" t="n">
        <v>0.7</v>
      </c>
      <c r="L31" s="1" t="n">
        <v>2581</v>
      </c>
      <c r="M31" s="0" t="n">
        <v>0</v>
      </c>
      <c r="N31" s="0" t="n">
        <v>2581</v>
      </c>
      <c r="O31" s="0" t="n">
        <v>95170</v>
      </c>
      <c r="P31" s="1" t="n">
        <v>1.52</v>
      </c>
      <c r="Q31" s="0" t="n">
        <v>0</v>
      </c>
      <c r="R31" s="0" t="n">
        <v>1</v>
      </c>
      <c r="S31" s="0" t="s">
        <v>42</v>
      </c>
      <c r="T31" s="0" t="str">
        <f aca="false">IF(L31="inf","False","True")</f>
        <v>True</v>
      </c>
      <c r="U31" s="0" t="str">
        <f aca="false">IF(V31="inf","False","True")</f>
        <v>True</v>
      </c>
      <c r="V31" s="4" t="n">
        <v>152303.09</v>
      </c>
      <c r="W31" s="4" t="n">
        <v>85000.03</v>
      </c>
      <c r="X31" s="0" t="n">
        <v>4.9</v>
      </c>
      <c r="Y31" s="5" t="n">
        <f aca="false">V31-L31</f>
        <v>149722.09</v>
      </c>
      <c r="Z31" s="6" t="n">
        <f aca="false">Y31/L31</f>
        <v>58.0093335916312</v>
      </c>
      <c r="AA31" s="3" t="n">
        <f aca="false">X31-P31</f>
        <v>3.38</v>
      </c>
      <c r="AB31" s="6" t="n">
        <f aca="false">AA31/P31</f>
        <v>2.22368421052632</v>
      </c>
    </row>
    <row r="32" customFormat="false" ht="12.75" hidden="false" customHeight="false" outlineLevel="0" collapsed="false">
      <c r="A32" s="0" t="s">
        <v>70</v>
      </c>
      <c r="B32" s="0" t="n">
        <v>0</v>
      </c>
      <c r="C32" s="0" t="s">
        <v>31</v>
      </c>
      <c r="D32" s="0" t="s">
        <v>31</v>
      </c>
      <c r="E32" s="0" t="n">
        <v>2333</v>
      </c>
      <c r="F32" s="0" t="n">
        <v>3441</v>
      </c>
      <c r="G32" s="0" t="n">
        <v>5</v>
      </c>
      <c r="H32" s="0" t="n">
        <v>3</v>
      </c>
      <c r="I32" s="0" t="n">
        <v>3</v>
      </c>
      <c r="J32" s="0" t="n">
        <v>8</v>
      </c>
      <c r="K32" s="0" t="n">
        <v>0.7</v>
      </c>
      <c r="L32" s="1" t="n">
        <v>3441</v>
      </c>
      <c r="M32" s="0" t="n">
        <v>0</v>
      </c>
      <c r="N32" s="0" t="n">
        <v>3441</v>
      </c>
      <c r="O32" s="0" t="n">
        <v>146546</v>
      </c>
      <c r="P32" s="1" t="n">
        <v>1.51</v>
      </c>
      <c r="Q32" s="0" t="n">
        <v>0</v>
      </c>
      <c r="R32" s="0" t="n">
        <v>1</v>
      </c>
      <c r="S32" s="0" t="s">
        <v>42</v>
      </c>
      <c r="T32" s="0" t="str">
        <f aca="false">IF(L32="inf","False","True")</f>
        <v>True</v>
      </c>
      <c r="U32" s="0" t="str">
        <f aca="false">IF(V32="inf","False","True")</f>
        <v>True</v>
      </c>
      <c r="V32" s="4" t="n">
        <v>416256.73</v>
      </c>
      <c r="W32" s="4" t="n">
        <v>136596.28</v>
      </c>
      <c r="X32" s="0" t="n">
        <v>3.52</v>
      </c>
      <c r="Y32" s="5" t="n">
        <f aca="false">V32-L32</f>
        <v>412815.73</v>
      </c>
      <c r="Z32" s="6" t="n">
        <f aca="false">Y32/L32</f>
        <v>119.969697762278</v>
      </c>
      <c r="AA32" s="3" t="n">
        <f aca="false">X32-P32</f>
        <v>2.01</v>
      </c>
      <c r="AB32" s="6" t="n">
        <f aca="false">AA32/P32</f>
        <v>1.33112582781457</v>
      </c>
    </row>
    <row r="33" customFormat="false" ht="12.75" hidden="false" customHeight="false" outlineLevel="0" collapsed="false">
      <c r="A33" s="0" t="s">
        <v>71</v>
      </c>
      <c r="B33" s="0" t="n">
        <v>1</v>
      </c>
      <c r="C33" s="0" t="s">
        <v>31</v>
      </c>
      <c r="D33" s="0" t="s">
        <v>31</v>
      </c>
      <c r="E33" s="0" t="n">
        <v>2333</v>
      </c>
      <c r="F33" s="0" t="n">
        <v>3801</v>
      </c>
      <c r="G33" s="0" t="n">
        <v>5</v>
      </c>
      <c r="H33" s="0" t="n">
        <v>3</v>
      </c>
      <c r="I33" s="0" t="n">
        <v>3</v>
      </c>
      <c r="J33" s="0" t="n">
        <v>8</v>
      </c>
      <c r="K33" s="0" t="n">
        <v>0.7</v>
      </c>
      <c r="L33" s="1" t="n">
        <v>3801</v>
      </c>
      <c r="M33" s="0" t="n">
        <v>0</v>
      </c>
      <c r="N33" s="0" t="n">
        <v>3801</v>
      </c>
      <c r="O33" s="0" t="n">
        <v>127557</v>
      </c>
      <c r="P33" s="1" t="n">
        <v>1.52</v>
      </c>
      <c r="Q33" s="0" t="n">
        <v>0</v>
      </c>
      <c r="R33" s="0" t="n">
        <v>1</v>
      </c>
      <c r="S33" s="0" t="s">
        <v>42</v>
      </c>
      <c r="T33" s="0" t="str">
        <f aca="false">IF(L33="inf","False","True")</f>
        <v>True</v>
      </c>
      <c r="U33" s="0" t="str">
        <f aca="false">IF(V33="inf","False","True")</f>
        <v>True</v>
      </c>
      <c r="V33" s="4" t="n">
        <v>2671.84</v>
      </c>
      <c r="W33" s="4" t="n">
        <v>127557</v>
      </c>
      <c r="X33" s="0" t="n">
        <v>1.24</v>
      </c>
      <c r="Y33" s="5" t="n">
        <f aca="false">V33-L33</f>
        <v>-1129.16</v>
      </c>
      <c r="Z33" s="6" t="n">
        <f aca="false">Y33/L33</f>
        <v>-0.297069192317811</v>
      </c>
      <c r="AA33" s="3" t="n">
        <f aca="false">X33-P33</f>
        <v>-0.28</v>
      </c>
      <c r="AB33" s="6" t="n">
        <f aca="false">AA33/P33</f>
        <v>-0.18421052631579</v>
      </c>
    </row>
    <row r="34" customFormat="false" ht="12.75" hidden="false" customHeight="false" outlineLevel="0" collapsed="false">
      <c r="A34" s="0" t="s">
        <v>72</v>
      </c>
      <c r="B34" s="0" t="n">
        <v>2</v>
      </c>
      <c r="C34" s="0" t="s">
        <v>31</v>
      </c>
      <c r="D34" s="0" t="s">
        <v>31</v>
      </c>
      <c r="E34" s="0" t="n">
        <v>2333</v>
      </c>
      <c r="F34" s="0" t="n">
        <v>3637</v>
      </c>
      <c r="G34" s="0" t="n">
        <v>5</v>
      </c>
      <c r="H34" s="0" t="n">
        <v>3</v>
      </c>
      <c r="I34" s="0" t="n">
        <v>3</v>
      </c>
      <c r="J34" s="0" t="n">
        <v>8</v>
      </c>
      <c r="K34" s="0" t="n">
        <v>0.7</v>
      </c>
      <c r="L34" s="1" t="n">
        <v>3637</v>
      </c>
      <c r="M34" s="0" t="n">
        <v>0</v>
      </c>
      <c r="N34" s="0" t="n">
        <v>3637</v>
      </c>
      <c r="O34" s="0" t="n">
        <v>144833</v>
      </c>
      <c r="P34" s="1" t="n">
        <v>1.79</v>
      </c>
      <c r="Q34" s="0" t="n">
        <v>0</v>
      </c>
      <c r="R34" s="0" t="n">
        <v>5</v>
      </c>
      <c r="S34" s="0" t="s">
        <v>42</v>
      </c>
      <c r="T34" s="0" t="str">
        <f aca="false">IF(L34="inf","False","True")</f>
        <v>True</v>
      </c>
      <c r="U34" s="0" t="str">
        <f aca="false">IF(V34="inf","False","True")</f>
        <v>True</v>
      </c>
      <c r="V34" s="4" t="n">
        <v>114807.91</v>
      </c>
      <c r="W34" s="4" t="n">
        <v>142313.19</v>
      </c>
      <c r="X34" s="0" t="n">
        <v>1.97</v>
      </c>
      <c r="Y34" s="5" t="n">
        <f aca="false">V34-L34</f>
        <v>111170.91</v>
      </c>
      <c r="Z34" s="6" t="n">
        <f aca="false">Y34/L34</f>
        <v>30.5666510860599</v>
      </c>
      <c r="AA34" s="3" t="n">
        <f aca="false">X34-P34</f>
        <v>0.18</v>
      </c>
      <c r="AB34" s="6" t="n">
        <f aca="false">AA34/P34</f>
        <v>0.100558659217877</v>
      </c>
    </row>
    <row r="35" customFormat="false" ht="12.75" hidden="false" customHeight="false" outlineLevel="0" collapsed="false">
      <c r="A35" s="0" t="s">
        <v>73</v>
      </c>
      <c r="B35" s="0" t="n">
        <v>3</v>
      </c>
      <c r="C35" s="0" t="s">
        <v>31</v>
      </c>
      <c r="D35" s="0" t="s">
        <v>31</v>
      </c>
      <c r="E35" s="0" t="n">
        <v>2333</v>
      </c>
      <c r="F35" s="0" t="n">
        <v>3390</v>
      </c>
      <c r="G35" s="0" t="n">
        <v>5</v>
      </c>
      <c r="H35" s="0" t="n">
        <v>3</v>
      </c>
      <c r="I35" s="0" t="n">
        <v>3</v>
      </c>
      <c r="J35" s="0" t="n">
        <v>8</v>
      </c>
      <c r="K35" s="0" t="n">
        <v>0.7</v>
      </c>
      <c r="L35" s="1" t="n">
        <v>3390</v>
      </c>
      <c r="M35" s="0" t="n">
        <v>0</v>
      </c>
      <c r="N35" s="0" t="n">
        <v>3390</v>
      </c>
      <c r="O35" s="0" t="n">
        <v>115383</v>
      </c>
      <c r="P35" s="1" t="n">
        <v>1.51</v>
      </c>
      <c r="Q35" s="0" t="n">
        <v>0</v>
      </c>
      <c r="R35" s="0" t="n">
        <v>1</v>
      </c>
      <c r="S35" s="0" t="s">
        <v>42</v>
      </c>
      <c r="T35" s="0" t="str">
        <f aca="false">IF(L35="inf","False","True")</f>
        <v>True</v>
      </c>
      <c r="U35" s="0" t="str">
        <f aca="false">IF(V35="inf","False","True")</f>
        <v>True</v>
      </c>
      <c r="V35" s="4" t="n">
        <v>4214.51</v>
      </c>
      <c r="W35" s="4" t="n">
        <v>115383</v>
      </c>
      <c r="X35" s="0" t="n">
        <v>1.44</v>
      </c>
      <c r="Y35" s="5" t="n">
        <f aca="false">V35-L35</f>
        <v>824.51</v>
      </c>
      <c r="Z35" s="6" t="n">
        <f aca="false">Y35/L35</f>
        <v>0.243218289085546</v>
      </c>
      <c r="AA35" s="3" t="n">
        <f aca="false">X35-P35</f>
        <v>-0.0700000000000001</v>
      </c>
      <c r="AB35" s="6" t="n">
        <f aca="false">AA35/P35</f>
        <v>-0.0463576158940398</v>
      </c>
    </row>
    <row r="36" customFormat="false" ht="12.75" hidden="false" customHeight="false" outlineLevel="0" collapsed="false">
      <c r="A36" s="0" t="s">
        <v>74</v>
      </c>
      <c r="B36" s="0" t="n">
        <v>4</v>
      </c>
      <c r="C36" s="0" t="s">
        <v>31</v>
      </c>
      <c r="D36" s="0" t="s">
        <v>31</v>
      </c>
      <c r="E36" s="0" t="n">
        <v>2333</v>
      </c>
      <c r="F36" s="0" t="n">
        <v>3615</v>
      </c>
      <c r="G36" s="0" t="n">
        <v>5</v>
      </c>
      <c r="H36" s="0" t="n">
        <v>3</v>
      </c>
      <c r="I36" s="0" t="n">
        <v>3</v>
      </c>
      <c r="J36" s="0" t="n">
        <v>8</v>
      </c>
      <c r="K36" s="0" t="n">
        <v>0.7</v>
      </c>
      <c r="L36" s="1" t="n">
        <v>3615</v>
      </c>
      <c r="M36" s="0" t="n">
        <v>0</v>
      </c>
      <c r="N36" s="0" t="n">
        <v>3615</v>
      </c>
      <c r="O36" s="0" t="n">
        <v>133260</v>
      </c>
      <c r="P36" s="1" t="n">
        <v>1.83</v>
      </c>
      <c r="Q36" s="0" t="n">
        <v>0</v>
      </c>
      <c r="R36" s="0" t="n">
        <v>25</v>
      </c>
      <c r="S36" s="0" t="s">
        <v>42</v>
      </c>
      <c r="T36" s="0" t="str">
        <f aca="false">IF(L36="inf","False","True")</f>
        <v>True</v>
      </c>
      <c r="U36" s="0" t="str">
        <f aca="false">IF(V36="inf","False","True")</f>
        <v>True</v>
      </c>
      <c r="V36" s="4" t="n">
        <v>201440.22</v>
      </c>
      <c r="W36" s="4" t="n">
        <v>125967.14</v>
      </c>
      <c r="X36" s="0" t="n">
        <v>3.13</v>
      </c>
      <c r="Y36" s="5" t="n">
        <f aca="false">V36-L36</f>
        <v>197825.22</v>
      </c>
      <c r="Z36" s="6" t="n">
        <f aca="false">Y36/L36</f>
        <v>54.7234356846473</v>
      </c>
      <c r="AA36" s="3" t="n">
        <f aca="false">X36-P36</f>
        <v>1.3</v>
      </c>
      <c r="AB36" s="6" t="n">
        <f aca="false">AA36/P36</f>
        <v>0.710382513661202</v>
      </c>
    </row>
    <row r="37" customFormat="false" ht="12.75" hidden="false" customHeight="false" outlineLevel="0" collapsed="false">
      <c r="A37" s="0" t="s">
        <v>75</v>
      </c>
      <c r="B37" s="0" t="n">
        <v>0</v>
      </c>
      <c r="C37" s="0" t="s">
        <v>31</v>
      </c>
      <c r="D37" s="0" t="s">
        <v>31</v>
      </c>
      <c r="E37" s="0" t="n">
        <v>3333</v>
      </c>
      <c r="F37" s="0" t="n">
        <v>4916</v>
      </c>
      <c r="G37" s="0" t="n">
        <v>5</v>
      </c>
      <c r="H37" s="0" t="n">
        <v>3</v>
      </c>
      <c r="I37" s="0" t="n">
        <v>3</v>
      </c>
      <c r="J37" s="0" t="n">
        <v>8</v>
      </c>
      <c r="K37" s="0" t="n">
        <v>0.7</v>
      </c>
      <c r="L37" s="1" t="n">
        <v>4916</v>
      </c>
      <c r="M37" s="0" t="n">
        <v>0</v>
      </c>
      <c r="N37" s="0" t="n">
        <v>4916</v>
      </c>
      <c r="O37" s="0" t="n">
        <v>209347</v>
      </c>
      <c r="P37" s="1" t="n">
        <v>1.51</v>
      </c>
      <c r="Q37" s="0" t="n">
        <v>0</v>
      </c>
      <c r="R37" s="0" t="n">
        <v>1</v>
      </c>
      <c r="S37" s="0" t="s">
        <v>42</v>
      </c>
      <c r="T37" s="0" t="str">
        <f aca="false">IF(L37="inf","False","True")</f>
        <v>True</v>
      </c>
      <c r="U37" s="0" t="str">
        <f aca="false">IF(V37="inf","False","True")</f>
        <v>True</v>
      </c>
      <c r="V37" s="4" t="n">
        <v>374143.3</v>
      </c>
      <c r="W37" s="4" t="n">
        <v>205863.94</v>
      </c>
      <c r="X37" s="0" t="n">
        <v>3.12</v>
      </c>
      <c r="Y37" s="5" t="n">
        <f aca="false">V37-L37</f>
        <v>369227.3</v>
      </c>
      <c r="Z37" s="6" t="n">
        <f aca="false">Y37/L37</f>
        <v>75.1072620016273</v>
      </c>
      <c r="AA37" s="3" t="n">
        <f aca="false">X37-P37</f>
        <v>1.61</v>
      </c>
      <c r="AB37" s="6" t="n">
        <f aca="false">AA37/P37</f>
        <v>1.06622516556291</v>
      </c>
    </row>
    <row r="38" customFormat="false" ht="12.75" hidden="false" customHeight="false" outlineLevel="0" collapsed="false">
      <c r="A38" s="0" t="s">
        <v>76</v>
      </c>
      <c r="B38" s="0" t="n">
        <v>1</v>
      </c>
      <c r="C38" s="0" t="s">
        <v>31</v>
      </c>
      <c r="D38" s="0" t="s">
        <v>31</v>
      </c>
      <c r="E38" s="0" t="n">
        <v>3333</v>
      </c>
      <c r="F38" s="0" t="n">
        <v>5431</v>
      </c>
      <c r="G38" s="0" t="n">
        <v>5</v>
      </c>
      <c r="H38" s="0" t="n">
        <v>3</v>
      </c>
      <c r="I38" s="0" t="n">
        <v>3</v>
      </c>
      <c r="J38" s="0" t="n">
        <v>8</v>
      </c>
      <c r="K38" s="0" t="n">
        <v>0.7</v>
      </c>
      <c r="L38" s="1" t="n">
        <v>5431</v>
      </c>
      <c r="M38" s="0" t="n">
        <v>0</v>
      </c>
      <c r="N38" s="0" t="n">
        <v>5431</v>
      </c>
      <c r="O38" s="0" t="n">
        <v>182245</v>
      </c>
      <c r="P38" s="1" t="n">
        <v>1.49</v>
      </c>
      <c r="Q38" s="0" t="n">
        <v>0</v>
      </c>
      <c r="R38" s="0" t="n">
        <v>1</v>
      </c>
      <c r="S38" s="0" t="s">
        <v>42</v>
      </c>
      <c r="T38" s="0" t="str">
        <f aca="false">IF(L38="inf","False","True")</f>
        <v>True</v>
      </c>
      <c r="U38" s="0" t="str">
        <f aca="false">IF(V38="inf","False","True")</f>
        <v>True</v>
      </c>
      <c r="V38" s="4" t="n">
        <v>39542.6</v>
      </c>
      <c r="W38" s="4" t="n">
        <v>181797</v>
      </c>
      <c r="X38" s="0" t="n">
        <v>2.36</v>
      </c>
      <c r="Y38" s="5" t="n">
        <f aca="false">V38-L38</f>
        <v>34111.6</v>
      </c>
      <c r="Z38" s="6" t="n">
        <f aca="false">Y38/L38</f>
        <v>6.28090591051372</v>
      </c>
      <c r="AA38" s="3" t="n">
        <f aca="false">X38-P38</f>
        <v>0.87</v>
      </c>
      <c r="AB38" s="6" t="n">
        <f aca="false">AA38/P38</f>
        <v>0.583892617449664</v>
      </c>
    </row>
    <row r="39" customFormat="false" ht="12.75" hidden="false" customHeight="false" outlineLevel="0" collapsed="false">
      <c r="A39" s="0" t="s">
        <v>77</v>
      </c>
      <c r="B39" s="0" t="n">
        <v>2</v>
      </c>
      <c r="C39" s="0" t="s">
        <v>31</v>
      </c>
      <c r="D39" s="0" t="s">
        <v>31</v>
      </c>
      <c r="E39" s="0" t="n">
        <v>3333</v>
      </c>
      <c r="F39" s="0" t="n">
        <v>5197</v>
      </c>
      <c r="G39" s="0" t="n">
        <v>5</v>
      </c>
      <c r="H39" s="0" t="n">
        <v>3</v>
      </c>
      <c r="I39" s="0" t="n">
        <v>3</v>
      </c>
      <c r="J39" s="0" t="n">
        <v>8</v>
      </c>
      <c r="K39" s="0" t="n">
        <v>0.7</v>
      </c>
      <c r="L39" s="1" t="n">
        <v>5197</v>
      </c>
      <c r="M39" s="0" t="n">
        <v>0</v>
      </c>
      <c r="N39" s="0" t="n">
        <v>5197</v>
      </c>
      <c r="O39" s="0" t="n">
        <v>206924</v>
      </c>
      <c r="P39" s="1" t="n">
        <v>1.52</v>
      </c>
      <c r="Q39" s="0" t="n">
        <v>0</v>
      </c>
      <c r="R39" s="0" t="n">
        <v>1</v>
      </c>
      <c r="S39" s="0" t="s">
        <v>42</v>
      </c>
      <c r="T39" s="0" t="str">
        <f aca="false">IF(L39="inf","False","True")</f>
        <v>True</v>
      </c>
      <c r="U39" s="0" t="str">
        <f aca="false">IF(V39="inf","False","True")</f>
        <v>True</v>
      </c>
      <c r="V39" s="4" t="n">
        <v>484901.57</v>
      </c>
      <c r="W39" s="4" t="n">
        <v>182587.55</v>
      </c>
      <c r="X39" s="0" t="n">
        <v>0.21</v>
      </c>
      <c r="Y39" s="5" t="n">
        <f aca="false">V39-L39</f>
        <v>479704.57</v>
      </c>
      <c r="Z39" s="6" t="n">
        <f aca="false">Y39/L39</f>
        <v>92.3041312295555</v>
      </c>
      <c r="AA39" s="3" t="n">
        <f aca="false">X39-P39</f>
        <v>-1.31</v>
      </c>
      <c r="AB39" s="6" t="n">
        <f aca="false">AA39/P39</f>
        <v>-0.861842105263158</v>
      </c>
    </row>
    <row r="40" customFormat="false" ht="12.75" hidden="false" customHeight="false" outlineLevel="0" collapsed="false">
      <c r="A40" s="0" t="s">
        <v>78</v>
      </c>
      <c r="B40" s="0" t="n">
        <v>3</v>
      </c>
      <c r="C40" s="0" t="s">
        <v>31</v>
      </c>
      <c r="D40" s="0" t="s">
        <v>31</v>
      </c>
      <c r="E40" s="0" t="n">
        <v>3333</v>
      </c>
      <c r="F40" s="0" t="n">
        <v>4845</v>
      </c>
      <c r="G40" s="0" t="n">
        <v>5</v>
      </c>
      <c r="H40" s="0" t="n">
        <v>3</v>
      </c>
      <c r="I40" s="0" t="n">
        <v>3</v>
      </c>
      <c r="J40" s="0" t="n">
        <v>8</v>
      </c>
      <c r="K40" s="0" t="n">
        <v>0.7</v>
      </c>
      <c r="L40" s="1" t="n">
        <v>4845</v>
      </c>
      <c r="M40" s="0" t="n">
        <v>0</v>
      </c>
      <c r="N40" s="0" t="n">
        <v>4845</v>
      </c>
      <c r="O40" s="0" t="n">
        <v>164851</v>
      </c>
      <c r="P40" s="1" t="n">
        <v>1.52</v>
      </c>
      <c r="Q40" s="0" t="n">
        <v>0</v>
      </c>
      <c r="R40" s="0" t="n">
        <v>1</v>
      </c>
      <c r="S40" s="0" t="s">
        <v>42</v>
      </c>
      <c r="T40" s="0" t="str">
        <f aca="false">IF(L40="inf","False","True")</f>
        <v>True</v>
      </c>
      <c r="U40" s="0" t="str">
        <f aca="false">IF(V40="inf","False","True")</f>
        <v>True</v>
      </c>
      <c r="V40" s="4" t="n">
        <v>3103.02</v>
      </c>
      <c r="W40" s="4" t="n">
        <v>164851</v>
      </c>
      <c r="X40" s="0" t="n">
        <v>2.16</v>
      </c>
      <c r="Y40" s="5" t="n">
        <f aca="false">V40-L40</f>
        <v>-1741.98</v>
      </c>
      <c r="Z40" s="6" t="n">
        <f aca="false">Y40/L40</f>
        <v>-0.359541795665635</v>
      </c>
      <c r="AA40" s="3" t="n">
        <f aca="false">X40-P40</f>
        <v>0.64</v>
      </c>
      <c r="AB40" s="6" t="n">
        <f aca="false">AA40/P40</f>
        <v>0.421052631578947</v>
      </c>
    </row>
    <row r="41" customFormat="false" ht="12.75" hidden="false" customHeight="false" outlineLevel="0" collapsed="false">
      <c r="A41" s="0" t="s">
        <v>79</v>
      </c>
      <c r="B41" s="0" t="n">
        <v>4</v>
      </c>
      <c r="C41" s="0" t="s">
        <v>31</v>
      </c>
      <c r="D41" s="0" t="s">
        <v>31</v>
      </c>
      <c r="E41" s="0" t="n">
        <v>3333</v>
      </c>
      <c r="F41" s="0" t="n">
        <v>5166</v>
      </c>
      <c r="G41" s="0" t="n">
        <v>5</v>
      </c>
      <c r="H41" s="0" t="n">
        <v>3</v>
      </c>
      <c r="I41" s="0" t="n">
        <v>3</v>
      </c>
      <c r="J41" s="0" t="n">
        <v>8</v>
      </c>
      <c r="K41" s="0" t="n">
        <v>0.7</v>
      </c>
      <c r="L41" s="1" t="n">
        <v>5166</v>
      </c>
      <c r="M41" s="0" t="n">
        <v>0</v>
      </c>
      <c r="N41" s="0" t="n">
        <v>5166</v>
      </c>
      <c r="O41" s="0" t="n">
        <v>190363</v>
      </c>
      <c r="P41" s="1" t="n">
        <v>1.66</v>
      </c>
      <c r="Q41" s="0" t="n">
        <v>0</v>
      </c>
      <c r="R41" s="0" t="n">
        <v>1</v>
      </c>
      <c r="S41" s="0" t="s">
        <v>42</v>
      </c>
      <c r="T41" s="0" t="str">
        <f aca="false">IF(L41="inf","False","True")</f>
        <v>True</v>
      </c>
      <c r="U41" s="0" t="str">
        <f aca="false">IF(V41="inf","False","True")</f>
        <v>True</v>
      </c>
      <c r="V41" s="4" t="n">
        <v>232058.27</v>
      </c>
      <c r="W41" s="4" t="n">
        <v>174550.9</v>
      </c>
      <c r="X41" s="0" t="n">
        <v>4.13</v>
      </c>
      <c r="Y41" s="5" t="n">
        <f aca="false">V41-L41</f>
        <v>226892.27</v>
      </c>
      <c r="Z41" s="6" t="n">
        <f aca="false">Y41/L41</f>
        <v>43.9203000387147</v>
      </c>
      <c r="AA41" s="3" t="n">
        <f aca="false">X41-P41</f>
        <v>2.47</v>
      </c>
      <c r="AB41" s="6" t="n">
        <f aca="false">AA41/P41</f>
        <v>1.48795180722892</v>
      </c>
    </row>
    <row r="42" customFormat="false" ht="12.75" hidden="false" customHeight="false" outlineLevel="0" collapsed="false">
      <c r="A42" s="0" t="s">
        <v>80</v>
      </c>
      <c r="B42" s="0" t="n">
        <v>0</v>
      </c>
      <c r="C42" s="0" t="s">
        <v>31</v>
      </c>
      <c r="D42" s="0" t="s">
        <v>31</v>
      </c>
      <c r="E42" s="0" t="n">
        <v>1000</v>
      </c>
      <c r="F42" s="0" t="n">
        <v>1513</v>
      </c>
      <c r="G42" s="0" t="n">
        <v>5</v>
      </c>
      <c r="H42" s="0" t="n">
        <v>3</v>
      </c>
      <c r="I42" s="0" t="n">
        <v>3</v>
      </c>
      <c r="J42" s="0" t="n">
        <v>12</v>
      </c>
      <c r="K42" s="0" t="n">
        <v>0.7</v>
      </c>
      <c r="L42" s="1" t="n">
        <v>1513</v>
      </c>
      <c r="M42" s="0" t="n">
        <v>0</v>
      </c>
      <c r="N42" s="0" t="n">
        <v>1513</v>
      </c>
      <c r="O42" s="0" t="n">
        <v>67592</v>
      </c>
      <c r="P42" s="1" t="n">
        <v>2.12</v>
      </c>
      <c r="Q42" s="0" t="n">
        <v>0</v>
      </c>
      <c r="R42" s="0" t="n">
        <v>1</v>
      </c>
      <c r="S42" s="0" t="s">
        <v>42</v>
      </c>
      <c r="T42" s="0" t="str">
        <f aca="false">IF(L42="inf","False","True")</f>
        <v>True</v>
      </c>
      <c r="U42" s="0" t="str">
        <f aca="false">IF(V42="inf","False","True")</f>
        <v>True</v>
      </c>
      <c r="V42" s="4" t="n">
        <v>74315.05</v>
      </c>
      <c r="W42" s="4" t="n">
        <v>65343.81</v>
      </c>
      <c r="X42" s="0" t="n">
        <v>4.38</v>
      </c>
      <c r="Y42" s="5" t="n">
        <f aca="false">V42-L42</f>
        <v>72802.05</v>
      </c>
      <c r="Z42" s="6" t="n">
        <f aca="false">Y42/L42</f>
        <v>48.1176801057502</v>
      </c>
      <c r="AA42" s="3" t="n">
        <f aca="false">X42-P42</f>
        <v>2.26</v>
      </c>
      <c r="AB42" s="6" t="n">
        <f aca="false">AA42/P42</f>
        <v>1.06603773584906</v>
      </c>
    </row>
    <row r="43" customFormat="false" ht="12.75" hidden="false" customHeight="false" outlineLevel="0" collapsed="false">
      <c r="A43" s="0" t="s">
        <v>81</v>
      </c>
      <c r="B43" s="0" t="n">
        <v>1</v>
      </c>
      <c r="C43" s="0" t="s">
        <v>31</v>
      </c>
      <c r="D43" s="0" t="s">
        <v>31</v>
      </c>
      <c r="E43" s="0" t="n">
        <v>1000</v>
      </c>
      <c r="F43" s="0" t="n">
        <v>1643</v>
      </c>
      <c r="G43" s="0" t="n">
        <v>5</v>
      </c>
      <c r="H43" s="0" t="n">
        <v>3</v>
      </c>
      <c r="I43" s="0" t="n">
        <v>3</v>
      </c>
      <c r="J43" s="0" t="n">
        <v>12</v>
      </c>
      <c r="K43" s="0" t="n">
        <v>0.7</v>
      </c>
      <c r="L43" s="1" t="n">
        <v>1643</v>
      </c>
      <c r="M43" s="0" t="n">
        <v>0</v>
      </c>
      <c r="N43" s="0" t="n">
        <v>1643</v>
      </c>
      <c r="O43" s="0" t="n">
        <v>57630</v>
      </c>
      <c r="P43" s="1" t="n">
        <v>2.43</v>
      </c>
      <c r="Q43" s="0" t="n">
        <v>0</v>
      </c>
      <c r="R43" s="0" t="n">
        <v>25</v>
      </c>
      <c r="S43" s="0" t="s">
        <v>42</v>
      </c>
      <c r="T43" s="0" t="str">
        <f aca="false">IF(L43="inf","False","True")</f>
        <v>True</v>
      </c>
      <c r="U43" s="0" t="str">
        <f aca="false">IF(V43="inf","False","True")</f>
        <v>True</v>
      </c>
      <c r="V43" s="4" t="n">
        <v>105085.67</v>
      </c>
      <c r="W43" s="4" t="n">
        <v>53727.83</v>
      </c>
      <c r="X43" s="0" t="n">
        <v>8.56</v>
      </c>
      <c r="Y43" s="5" t="n">
        <f aca="false">V43-L43</f>
        <v>103442.67</v>
      </c>
      <c r="Z43" s="6" t="n">
        <f aca="false">Y43/L43</f>
        <v>62.9596287279367</v>
      </c>
      <c r="AA43" s="3" t="n">
        <f aca="false">X43-P43</f>
        <v>6.13</v>
      </c>
      <c r="AB43" s="6" t="n">
        <f aca="false">AA43/P43</f>
        <v>2.52263374485597</v>
      </c>
    </row>
    <row r="44" customFormat="false" ht="12.75" hidden="false" customHeight="false" outlineLevel="0" collapsed="false">
      <c r="A44" s="0" t="s">
        <v>82</v>
      </c>
      <c r="B44" s="0" t="n">
        <v>2</v>
      </c>
      <c r="C44" s="0" t="s">
        <v>31</v>
      </c>
      <c r="D44" s="0" t="s">
        <v>31</v>
      </c>
      <c r="E44" s="0" t="n">
        <v>1000</v>
      </c>
      <c r="F44" s="0" t="n">
        <v>1600</v>
      </c>
      <c r="G44" s="0" t="n">
        <v>5</v>
      </c>
      <c r="H44" s="0" t="n">
        <v>3</v>
      </c>
      <c r="I44" s="0" t="n">
        <v>3</v>
      </c>
      <c r="J44" s="0" t="n">
        <v>12</v>
      </c>
      <c r="K44" s="0" t="n">
        <v>0.7</v>
      </c>
      <c r="L44" s="1" t="n">
        <v>70208.05</v>
      </c>
      <c r="M44" s="0" t="n">
        <v>68638.65</v>
      </c>
      <c r="N44" s="0" t="n">
        <v>1569.4</v>
      </c>
      <c r="O44" s="0" t="n">
        <v>58948.05</v>
      </c>
      <c r="P44" s="1" t="n">
        <v>4.87</v>
      </c>
      <c r="Q44" s="0" t="n">
        <v>0</v>
      </c>
      <c r="R44" s="0" t="n">
        <v>2</v>
      </c>
      <c r="S44" s="0" t="s">
        <v>83</v>
      </c>
      <c r="T44" s="0" t="str">
        <f aca="false">IF(L44="inf","False","True")</f>
        <v>True</v>
      </c>
      <c r="U44" s="0" t="str">
        <f aca="false">IF(V44="inf","False","True")</f>
        <v>True</v>
      </c>
      <c r="V44" s="4" t="n">
        <v>139784.62</v>
      </c>
      <c r="W44" s="4" t="n">
        <v>54021.59</v>
      </c>
      <c r="X44" s="0" t="n">
        <v>1.28</v>
      </c>
      <c r="Y44" s="5" t="n">
        <f aca="false">V44-L44</f>
        <v>69576.57</v>
      </c>
      <c r="Z44" s="6" t="n">
        <f aca="false">Y44/L44</f>
        <v>0.991005589814843</v>
      </c>
      <c r="AA44" s="3" t="n">
        <f aca="false">X44-P44</f>
        <v>-3.59</v>
      </c>
      <c r="AB44" s="6" t="n">
        <f aca="false">AA44/P44</f>
        <v>-0.737166324435318</v>
      </c>
    </row>
    <row r="45" customFormat="false" ht="12.75" hidden="false" customHeight="false" outlineLevel="0" collapsed="false">
      <c r="A45" s="0" t="s">
        <v>84</v>
      </c>
      <c r="B45" s="0" t="n">
        <v>3</v>
      </c>
      <c r="C45" s="0" t="s">
        <v>31</v>
      </c>
      <c r="D45" s="0" t="s">
        <v>31</v>
      </c>
      <c r="E45" s="0" t="n">
        <v>1000</v>
      </c>
      <c r="F45" s="0" t="n">
        <v>1519</v>
      </c>
      <c r="G45" s="0" t="n">
        <v>5</v>
      </c>
      <c r="H45" s="0" t="n">
        <v>3</v>
      </c>
      <c r="I45" s="0" t="n">
        <v>3</v>
      </c>
      <c r="J45" s="0" t="n">
        <v>12</v>
      </c>
      <c r="K45" s="0" t="n">
        <v>0.7</v>
      </c>
      <c r="L45" s="1" t="n">
        <v>1519</v>
      </c>
      <c r="M45" s="0" t="n">
        <v>0</v>
      </c>
      <c r="N45" s="0" t="n">
        <v>1519</v>
      </c>
      <c r="O45" s="0" t="n">
        <v>61996</v>
      </c>
      <c r="P45" s="1" t="n">
        <v>2.23</v>
      </c>
      <c r="Q45" s="0" t="n">
        <v>0</v>
      </c>
      <c r="R45" s="0" t="n">
        <v>1</v>
      </c>
      <c r="S45" s="0" t="s">
        <v>42</v>
      </c>
      <c r="T45" s="0" t="str">
        <f aca="false">IF(L45="inf","False","True")</f>
        <v>True</v>
      </c>
      <c r="U45" s="0" t="str">
        <f aca="false">IF(V45="inf","False","True")</f>
        <v>True</v>
      </c>
      <c r="V45" s="4" t="n">
        <v>5333.8</v>
      </c>
      <c r="W45" s="4" t="n">
        <v>61996</v>
      </c>
      <c r="X45" s="0" t="n">
        <v>5.04</v>
      </c>
      <c r="Y45" s="5" t="n">
        <f aca="false">V45-L45</f>
        <v>3814.8</v>
      </c>
      <c r="Z45" s="6" t="n">
        <f aca="false">Y45/L45</f>
        <v>2.51138907175774</v>
      </c>
      <c r="AA45" s="3" t="n">
        <f aca="false">X45-P45</f>
        <v>2.81</v>
      </c>
      <c r="AB45" s="6" t="n">
        <f aca="false">AA45/P45</f>
        <v>1.26008968609865</v>
      </c>
    </row>
    <row r="46" customFormat="false" ht="12.75" hidden="false" customHeight="false" outlineLevel="0" collapsed="false">
      <c r="A46" s="0" t="s">
        <v>85</v>
      </c>
      <c r="B46" s="0" t="n">
        <v>4</v>
      </c>
      <c r="C46" s="0" t="s">
        <v>31</v>
      </c>
      <c r="D46" s="0" t="s">
        <v>31</v>
      </c>
      <c r="E46" s="0" t="n">
        <v>1000</v>
      </c>
      <c r="F46" s="0" t="n">
        <v>1650</v>
      </c>
      <c r="G46" s="0" t="n">
        <v>5</v>
      </c>
      <c r="H46" s="0" t="n">
        <v>3</v>
      </c>
      <c r="I46" s="0" t="n">
        <v>3</v>
      </c>
      <c r="J46" s="0" t="n">
        <v>12</v>
      </c>
      <c r="K46" s="0" t="n">
        <v>0.7</v>
      </c>
      <c r="L46" s="1" t="n">
        <v>1650</v>
      </c>
      <c r="M46" s="0" t="n">
        <v>0</v>
      </c>
      <c r="N46" s="0" t="n">
        <v>1650</v>
      </c>
      <c r="O46" s="0" t="n">
        <v>61244</v>
      </c>
      <c r="P46" s="1" t="n">
        <v>2.3</v>
      </c>
      <c r="Q46" s="0" t="n">
        <v>0</v>
      </c>
      <c r="R46" s="0" t="n">
        <v>1</v>
      </c>
      <c r="S46" s="0" t="s">
        <v>42</v>
      </c>
      <c r="T46" s="0" t="str">
        <f aca="false">IF(L46="inf","False","True")</f>
        <v>True</v>
      </c>
      <c r="U46" s="0" t="str">
        <f aca="false">IF(V46="inf","False","True")</f>
        <v>True</v>
      </c>
      <c r="V46" s="4" t="n">
        <v>121983.42</v>
      </c>
      <c r="W46" s="4" t="n">
        <v>53828</v>
      </c>
      <c r="X46" s="0" t="n">
        <v>2.38</v>
      </c>
      <c r="Y46" s="5" t="n">
        <f aca="false">V46-L46</f>
        <v>120333.42</v>
      </c>
      <c r="Z46" s="6" t="n">
        <f aca="false">Y46/L46</f>
        <v>72.9293454545455</v>
      </c>
      <c r="AA46" s="3" t="n">
        <f aca="false">X46-P46</f>
        <v>0.0800000000000001</v>
      </c>
      <c r="AB46" s="6" t="n">
        <f aca="false">AA46/P46</f>
        <v>0.0347826086956522</v>
      </c>
    </row>
    <row r="47" customFormat="false" ht="12.75" hidden="false" customHeight="false" outlineLevel="0" collapsed="false">
      <c r="A47" s="0" t="s">
        <v>86</v>
      </c>
      <c r="B47" s="0" t="n">
        <v>0</v>
      </c>
      <c r="C47" s="0" t="s">
        <v>31</v>
      </c>
      <c r="D47" s="0" t="s">
        <v>31</v>
      </c>
      <c r="E47" s="0" t="n">
        <v>1666</v>
      </c>
      <c r="F47" s="0" t="n">
        <v>2522</v>
      </c>
      <c r="G47" s="0" t="n">
        <v>5</v>
      </c>
      <c r="H47" s="0" t="n">
        <v>3</v>
      </c>
      <c r="I47" s="0" t="n">
        <v>3</v>
      </c>
      <c r="J47" s="0" t="n">
        <v>12</v>
      </c>
      <c r="K47" s="0" t="n">
        <v>0.7</v>
      </c>
      <c r="L47" s="1" t="n">
        <v>2522</v>
      </c>
      <c r="M47" s="0" t="n">
        <v>0</v>
      </c>
      <c r="N47" s="0" t="n">
        <v>2522</v>
      </c>
      <c r="O47" s="0" t="n">
        <v>112686</v>
      </c>
      <c r="P47" s="1" t="n">
        <v>2.16</v>
      </c>
      <c r="Q47" s="0" t="n">
        <v>0</v>
      </c>
      <c r="R47" s="0" t="n">
        <v>1</v>
      </c>
      <c r="S47" s="0" t="s">
        <v>42</v>
      </c>
      <c r="T47" s="0" t="str">
        <f aca="false">IF(L47="inf","False","True")</f>
        <v>True</v>
      </c>
      <c r="U47" s="0" t="str">
        <f aca="false">IF(V47="inf","False","True")</f>
        <v>True</v>
      </c>
      <c r="V47" s="4" t="n">
        <v>319039.71</v>
      </c>
      <c r="W47" s="4" t="n">
        <v>99652.14</v>
      </c>
      <c r="X47" s="0" t="n">
        <v>5.02</v>
      </c>
      <c r="Y47" s="5" t="n">
        <f aca="false">V47-L47</f>
        <v>316517.71</v>
      </c>
      <c r="Z47" s="6" t="n">
        <f aca="false">Y47/L47</f>
        <v>125.502660586836</v>
      </c>
      <c r="AA47" s="3" t="n">
        <f aca="false">X47-P47</f>
        <v>2.86</v>
      </c>
      <c r="AB47" s="6" t="n">
        <f aca="false">AA47/P47</f>
        <v>1.32407407407407</v>
      </c>
    </row>
    <row r="48" customFormat="false" ht="12.75" hidden="false" customHeight="false" outlineLevel="0" collapsed="false">
      <c r="A48" s="0" t="s">
        <v>87</v>
      </c>
      <c r="B48" s="0" t="n">
        <v>1</v>
      </c>
      <c r="C48" s="0" t="s">
        <v>31</v>
      </c>
      <c r="D48" s="0" t="s">
        <v>31</v>
      </c>
      <c r="E48" s="0" t="n">
        <v>1666</v>
      </c>
      <c r="F48" s="0" t="n">
        <v>2737</v>
      </c>
      <c r="G48" s="0" t="n">
        <v>5</v>
      </c>
      <c r="H48" s="0" t="n">
        <v>3</v>
      </c>
      <c r="I48" s="0" t="n">
        <v>3</v>
      </c>
      <c r="J48" s="0" t="n">
        <v>12</v>
      </c>
      <c r="K48" s="0" t="n">
        <v>0.7</v>
      </c>
      <c r="L48" s="1" t="n">
        <v>2737</v>
      </c>
      <c r="M48" s="0" t="n">
        <v>0</v>
      </c>
      <c r="N48" s="0" t="n">
        <v>2737</v>
      </c>
      <c r="O48" s="0" t="n">
        <v>96084</v>
      </c>
      <c r="P48" s="1" t="n">
        <v>2.03</v>
      </c>
      <c r="Q48" s="0" t="n">
        <v>0</v>
      </c>
      <c r="R48" s="0" t="n">
        <v>1</v>
      </c>
      <c r="S48" s="0" t="s">
        <v>42</v>
      </c>
      <c r="T48" s="0" t="str">
        <f aca="false">IF(L48="inf","False","True")</f>
        <v>True</v>
      </c>
      <c r="U48" s="0" t="str">
        <f aca="false">IF(V48="inf","False","True")</f>
        <v>True</v>
      </c>
      <c r="V48" s="4" t="n">
        <v>189012.95</v>
      </c>
      <c r="W48" s="4" t="n">
        <v>87780.92</v>
      </c>
      <c r="X48" s="0" t="n">
        <v>11</v>
      </c>
      <c r="Y48" s="5" t="n">
        <f aca="false">V48-L48</f>
        <v>186275.95</v>
      </c>
      <c r="Z48" s="6" t="n">
        <f aca="false">Y48/L48</f>
        <v>68.0584398976982</v>
      </c>
      <c r="AA48" s="3" t="n">
        <f aca="false">X48-P48</f>
        <v>8.97</v>
      </c>
      <c r="AB48" s="6" t="n">
        <f aca="false">AA48/P48</f>
        <v>4.41871921182266</v>
      </c>
    </row>
    <row r="49" customFormat="false" ht="12.75" hidden="false" customHeight="false" outlineLevel="0" collapsed="false">
      <c r="A49" s="0" t="s">
        <v>88</v>
      </c>
      <c r="B49" s="0" t="n">
        <v>2</v>
      </c>
      <c r="C49" s="0" t="s">
        <v>31</v>
      </c>
      <c r="D49" s="0" t="s">
        <v>31</v>
      </c>
      <c r="E49" s="0" t="n">
        <v>1666</v>
      </c>
      <c r="F49" s="0" t="n">
        <v>2667</v>
      </c>
      <c r="G49" s="0" t="n">
        <v>5</v>
      </c>
      <c r="H49" s="0" t="n">
        <v>3</v>
      </c>
      <c r="I49" s="0" t="n">
        <v>3</v>
      </c>
      <c r="J49" s="0" t="n">
        <v>12</v>
      </c>
      <c r="K49" s="0" t="n">
        <v>0.7</v>
      </c>
      <c r="L49" s="1" t="n">
        <v>119116.83</v>
      </c>
      <c r="M49" s="0" t="n">
        <v>116488.97</v>
      </c>
      <c r="N49" s="0" t="n">
        <v>2627.86</v>
      </c>
      <c r="O49" s="0" t="n">
        <v>98149.58</v>
      </c>
      <c r="P49" s="1" t="n">
        <v>4.93</v>
      </c>
      <c r="Q49" s="0" t="n">
        <v>0</v>
      </c>
      <c r="R49" s="0" t="n">
        <v>30</v>
      </c>
      <c r="S49" s="0" t="s">
        <v>89</v>
      </c>
      <c r="T49" s="0" t="str">
        <f aca="false">IF(L49="inf","False","True")</f>
        <v>True</v>
      </c>
      <c r="U49" s="0" t="str">
        <f aca="false">IF(V49="inf","False","True")</f>
        <v>True</v>
      </c>
      <c r="V49" s="4" t="n">
        <v>215755.11</v>
      </c>
      <c r="W49" s="4" t="n">
        <v>94245.94</v>
      </c>
      <c r="X49" s="0" t="n">
        <v>6.43</v>
      </c>
      <c r="Y49" s="5" t="n">
        <f aca="false">V49-L49</f>
        <v>96638.28</v>
      </c>
      <c r="Z49" s="6" t="n">
        <f aca="false">Y49/L49</f>
        <v>0.811289890773621</v>
      </c>
      <c r="AA49" s="3" t="n">
        <f aca="false">X49-P49</f>
        <v>1.5</v>
      </c>
      <c r="AB49" s="6" t="n">
        <f aca="false">AA49/P49</f>
        <v>0.304259634888438</v>
      </c>
    </row>
    <row r="50" customFormat="false" ht="12.75" hidden="false" customHeight="false" outlineLevel="0" collapsed="false">
      <c r="A50" s="0" t="s">
        <v>90</v>
      </c>
      <c r="B50" s="0" t="n">
        <v>3</v>
      </c>
      <c r="C50" s="0" t="s">
        <v>31</v>
      </c>
      <c r="D50" s="0" t="s">
        <v>31</v>
      </c>
      <c r="E50" s="0" t="n">
        <v>1666</v>
      </c>
      <c r="F50" s="0" t="n">
        <v>2531</v>
      </c>
      <c r="G50" s="0" t="n">
        <v>5</v>
      </c>
      <c r="H50" s="0" t="n">
        <v>3</v>
      </c>
      <c r="I50" s="0" t="n">
        <v>3</v>
      </c>
      <c r="J50" s="0" t="n">
        <v>12</v>
      </c>
      <c r="K50" s="0" t="n">
        <v>0.7</v>
      </c>
      <c r="L50" s="1" t="n">
        <v>2531</v>
      </c>
      <c r="M50" s="0" t="n">
        <v>0</v>
      </c>
      <c r="N50" s="0" t="n">
        <v>2531</v>
      </c>
      <c r="O50" s="0" t="n">
        <v>103293</v>
      </c>
      <c r="P50" s="1" t="n">
        <v>1.99</v>
      </c>
      <c r="Q50" s="0" t="n">
        <v>0</v>
      </c>
      <c r="R50" s="0" t="n">
        <v>1</v>
      </c>
      <c r="S50" s="0" t="s">
        <v>42</v>
      </c>
      <c r="T50" s="0" t="str">
        <f aca="false">IF(L50="inf","False","True")</f>
        <v>True</v>
      </c>
      <c r="U50" s="0" t="str">
        <f aca="false">IF(V50="inf","False","True")</f>
        <v>True</v>
      </c>
      <c r="V50" s="4" t="n">
        <v>149144.3</v>
      </c>
      <c r="W50" s="4" t="n">
        <v>94711.4</v>
      </c>
      <c r="X50" s="0" t="n">
        <v>6.96</v>
      </c>
      <c r="Y50" s="5" t="n">
        <f aca="false">V50-L50</f>
        <v>146613.3</v>
      </c>
      <c r="Z50" s="6" t="n">
        <f aca="false">Y50/L50</f>
        <v>57.9270248913473</v>
      </c>
      <c r="AA50" s="3" t="n">
        <f aca="false">X50-P50</f>
        <v>4.97</v>
      </c>
      <c r="AB50" s="6" t="n">
        <f aca="false">AA50/P50</f>
        <v>2.49748743718593</v>
      </c>
    </row>
    <row r="51" customFormat="false" ht="12.75" hidden="false" customHeight="false" outlineLevel="0" collapsed="false">
      <c r="A51" s="0" t="s">
        <v>91</v>
      </c>
      <c r="B51" s="0" t="n">
        <v>4</v>
      </c>
      <c r="C51" s="0" t="s">
        <v>31</v>
      </c>
      <c r="D51" s="0" t="s">
        <v>31</v>
      </c>
      <c r="E51" s="0" t="n">
        <v>1666</v>
      </c>
      <c r="F51" s="0" t="n">
        <v>2750</v>
      </c>
      <c r="G51" s="0" t="n">
        <v>5</v>
      </c>
      <c r="H51" s="0" t="n">
        <v>3</v>
      </c>
      <c r="I51" s="0" t="n">
        <v>3</v>
      </c>
      <c r="J51" s="0" t="n">
        <v>12</v>
      </c>
      <c r="K51" s="0" t="n">
        <v>0.7</v>
      </c>
      <c r="L51" s="1" t="n">
        <v>2750</v>
      </c>
      <c r="M51" s="0" t="n">
        <v>0</v>
      </c>
      <c r="N51" s="0" t="n">
        <v>2750</v>
      </c>
      <c r="O51" s="0" t="n">
        <v>102067</v>
      </c>
      <c r="P51" s="1" t="n">
        <v>1.96</v>
      </c>
      <c r="Q51" s="0" t="n">
        <v>0</v>
      </c>
      <c r="R51" s="0" t="n">
        <v>1</v>
      </c>
      <c r="S51" s="0" t="s">
        <v>42</v>
      </c>
      <c r="T51" s="0" t="str">
        <f aca="false">IF(L51="inf","False","True")</f>
        <v>True</v>
      </c>
      <c r="U51" s="0" t="str">
        <f aca="false">IF(V51="inf","False","True")</f>
        <v>True</v>
      </c>
      <c r="V51" s="4" t="n">
        <v>64657.14</v>
      </c>
      <c r="W51" s="4" t="n">
        <v>97552.1</v>
      </c>
      <c r="X51" s="0" t="n">
        <v>1.72</v>
      </c>
      <c r="Y51" s="5" t="n">
        <f aca="false">V51-L51</f>
        <v>61907.14</v>
      </c>
      <c r="Z51" s="6" t="n">
        <f aca="false">Y51/L51</f>
        <v>22.5116872727273</v>
      </c>
      <c r="AA51" s="3" t="n">
        <f aca="false">X51-P51</f>
        <v>-0.24</v>
      </c>
      <c r="AB51" s="6" t="n">
        <f aca="false">AA51/P51</f>
        <v>-0.122448979591837</v>
      </c>
    </row>
    <row r="52" customFormat="false" ht="12.75" hidden="false" customHeight="false" outlineLevel="0" collapsed="false">
      <c r="A52" s="0" t="s">
        <v>92</v>
      </c>
      <c r="B52" s="0" t="n">
        <v>0</v>
      </c>
      <c r="C52" s="0" t="s">
        <v>31</v>
      </c>
      <c r="D52" s="0" t="s">
        <v>31</v>
      </c>
      <c r="E52" s="0" t="n">
        <v>2333</v>
      </c>
      <c r="F52" s="0" t="n">
        <v>3533</v>
      </c>
      <c r="G52" s="0" t="n">
        <v>5</v>
      </c>
      <c r="H52" s="0" t="n">
        <v>3</v>
      </c>
      <c r="I52" s="0" t="n">
        <v>3</v>
      </c>
      <c r="J52" s="0" t="n">
        <v>12</v>
      </c>
      <c r="K52" s="0" t="n">
        <v>0.7</v>
      </c>
      <c r="L52" s="1" t="n">
        <v>3533</v>
      </c>
      <c r="M52" s="0" t="n">
        <v>0</v>
      </c>
      <c r="N52" s="0" t="n">
        <v>3533</v>
      </c>
      <c r="O52" s="0" t="n">
        <v>157766</v>
      </c>
      <c r="P52" s="1" t="n">
        <v>1.96</v>
      </c>
      <c r="Q52" s="0" t="n">
        <v>0</v>
      </c>
      <c r="R52" s="0" t="n">
        <v>1</v>
      </c>
      <c r="S52" s="0" t="s">
        <v>42</v>
      </c>
      <c r="T52" s="0" t="str">
        <f aca="false">IF(L52="inf","False","True")</f>
        <v>True</v>
      </c>
      <c r="U52" s="0" t="str">
        <f aca="false">IF(V52="inf","False","True")</f>
        <v>True</v>
      </c>
      <c r="V52" s="4" t="n">
        <v>507209.47</v>
      </c>
      <c r="W52" s="4" t="n">
        <v>136977.3</v>
      </c>
      <c r="X52" s="0" t="n">
        <v>3.88</v>
      </c>
      <c r="Y52" s="5" t="n">
        <f aca="false">V52-L52</f>
        <v>503676.47</v>
      </c>
      <c r="Z52" s="6" t="n">
        <f aca="false">Y52/L52</f>
        <v>142.563393716388</v>
      </c>
      <c r="AA52" s="3" t="n">
        <f aca="false">X52-P52</f>
        <v>1.92</v>
      </c>
      <c r="AB52" s="6" t="n">
        <f aca="false">AA52/P52</f>
        <v>0.979591836734694</v>
      </c>
    </row>
    <row r="53" customFormat="false" ht="12.75" hidden="false" customHeight="false" outlineLevel="0" collapsed="false">
      <c r="A53" s="0" t="s">
        <v>93</v>
      </c>
      <c r="B53" s="0" t="n">
        <v>1</v>
      </c>
      <c r="C53" s="0" t="s">
        <v>31</v>
      </c>
      <c r="D53" s="0" t="s">
        <v>31</v>
      </c>
      <c r="E53" s="0" t="n">
        <v>2333</v>
      </c>
      <c r="F53" s="0" t="n">
        <v>3835</v>
      </c>
      <c r="G53" s="0" t="n">
        <v>5</v>
      </c>
      <c r="H53" s="0" t="n">
        <v>3</v>
      </c>
      <c r="I53" s="0" t="n">
        <v>3</v>
      </c>
      <c r="J53" s="0" t="n">
        <v>12</v>
      </c>
      <c r="K53" s="0" t="n">
        <v>0.7</v>
      </c>
      <c r="L53" s="1" t="n">
        <v>3835</v>
      </c>
      <c r="M53" s="0" t="n">
        <v>0</v>
      </c>
      <c r="N53" s="0" t="n">
        <v>3835</v>
      </c>
      <c r="O53" s="0" t="n">
        <v>134488</v>
      </c>
      <c r="P53" s="1" t="n">
        <v>2.46</v>
      </c>
      <c r="Q53" s="0" t="n">
        <v>0</v>
      </c>
      <c r="R53" s="0" t="n">
        <v>2</v>
      </c>
      <c r="S53" s="0" t="s">
        <v>42</v>
      </c>
      <c r="T53" s="0" t="str">
        <f aca="false">IF(L53="inf","False","True")</f>
        <v>True</v>
      </c>
      <c r="U53" s="0" t="str">
        <f aca="false">IF(V53="inf","False","True")</f>
        <v>True</v>
      </c>
      <c r="V53" s="4" t="n">
        <v>117758.93</v>
      </c>
      <c r="W53" s="4" t="n">
        <v>132914.29</v>
      </c>
      <c r="X53" s="0" t="n">
        <v>6.15</v>
      </c>
      <c r="Y53" s="5" t="n">
        <f aca="false">V53-L53</f>
        <v>113923.93</v>
      </c>
      <c r="Z53" s="6" t="n">
        <f aca="false">Y53/L53</f>
        <v>29.706370273794</v>
      </c>
      <c r="AA53" s="3" t="n">
        <f aca="false">X53-P53</f>
        <v>3.69</v>
      </c>
      <c r="AB53" s="6" t="n">
        <f aca="false">AA53/P53</f>
        <v>1.5</v>
      </c>
    </row>
    <row r="54" customFormat="false" ht="12.75" hidden="false" customHeight="false" outlineLevel="0" collapsed="false">
      <c r="A54" s="0" t="s">
        <v>94</v>
      </c>
      <c r="B54" s="0" t="n">
        <v>2</v>
      </c>
      <c r="C54" s="0" t="s">
        <v>31</v>
      </c>
      <c r="D54" s="0" t="s">
        <v>31</v>
      </c>
      <c r="E54" s="0" t="n">
        <v>2333</v>
      </c>
      <c r="F54" s="0" t="n">
        <v>3736</v>
      </c>
      <c r="G54" s="0" t="n">
        <v>5</v>
      </c>
      <c r="H54" s="0" t="n">
        <v>3</v>
      </c>
      <c r="I54" s="0" t="n">
        <v>3</v>
      </c>
      <c r="J54" s="0" t="n">
        <v>12</v>
      </c>
      <c r="K54" s="0" t="n">
        <v>0.7</v>
      </c>
      <c r="L54" s="1" t="n">
        <v>163920.29</v>
      </c>
      <c r="M54" s="0" t="n">
        <v>160302.35</v>
      </c>
      <c r="N54" s="0" t="n">
        <v>3617.95</v>
      </c>
      <c r="O54" s="0" t="n">
        <v>137597.6</v>
      </c>
      <c r="P54" s="1" t="n">
        <v>3.39</v>
      </c>
      <c r="Q54" s="0" t="n">
        <v>0</v>
      </c>
      <c r="R54" s="0" t="n">
        <v>2</v>
      </c>
      <c r="S54" s="0" t="s">
        <v>83</v>
      </c>
      <c r="T54" s="0" t="str">
        <f aca="false">IF(L54="inf","False","True")</f>
        <v>True</v>
      </c>
      <c r="U54" s="0" t="str">
        <f aca="false">IF(V54="inf","False","True")</f>
        <v>True</v>
      </c>
      <c r="V54" s="4" t="n">
        <v>203096.62</v>
      </c>
      <c r="W54" s="4" t="n">
        <v>135401.82</v>
      </c>
      <c r="X54" s="0" t="n">
        <v>0.95</v>
      </c>
      <c r="Y54" s="5" t="n">
        <f aca="false">V54-L54</f>
        <v>39176.33</v>
      </c>
      <c r="Z54" s="6" t="n">
        <f aca="false">Y54/L54</f>
        <v>0.238996221883209</v>
      </c>
      <c r="AA54" s="3" t="n">
        <f aca="false">X54-P54</f>
        <v>-2.44</v>
      </c>
      <c r="AB54" s="6" t="n">
        <f aca="false">AA54/P54</f>
        <v>-0.71976401179941</v>
      </c>
    </row>
    <row r="55" customFormat="false" ht="12.75" hidden="false" customHeight="false" outlineLevel="0" collapsed="false">
      <c r="A55" s="0" t="s">
        <v>95</v>
      </c>
      <c r="B55" s="0" t="n">
        <v>3</v>
      </c>
      <c r="C55" s="0" t="s">
        <v>31</v>
      </c>
      <c r="D55" s="0" t="s">
        <v>31</v>
      </c>
      <c r="E55" s="0" t="n">
        <v>2333</v>
      </c>
      <c r="F55" s="0" t="n">
        <v>3546</v>
      </c>
      <c r="G55" s="0" t="n">
        <v>5</v>
      </c>
      <c r="H55" s="0" t="n">
        <v>3</v>
      </c>
      <c r="I55" s="0" t="n">
        <v>3</v>
      </c>
      <c r="J55" s="0" t="n">
        <v>12</v>
      </c>
      <c r="K55" s="0" t="n">
        <v>0.7</v>
      </c>
      <c r="L55" s="1" t="n">
        <v>3546</v>
      </c>
      <c r="M55" s="0" t="n">
        <v>0</v>
      </c>
      <c r="N55" s="0" t="n">
        <v>3546</v>
      </c>
      <c r="O55" s="0" t="n">
        <v>144642</v>
      </c>
      <c r="P55" s="1" t="n">
        <v>2</v>
      </c>
      <c r="Q55" s="0" t="n">
        <v>0</v>
      </c>
      <c r="R55" s="0" t="n">
        <v>1</v>
      </c>
      <c r="S55" s="0" t="s">
        <v>42</v>
      </c>
      <c r="T55" s="0" t="str">
        <f aca="false">IF(L55="inf","False","True")</f>
        <v>True</v>
      </c>
      <c r="U55" s="0" t="str">
        <f aca="false">IF(V55="inf","False","True")</f>
        <v>True</v>
      </c>
      <c r="V55" s="4" t="n">
        <v>139176.29</v>
      </c>
      <c r="W55" s="4" t="n">
        <v>142971.04</v>
      </c>
      <c r="X55" s="0" t="n">
        <v>3.11</v>
      </c>
      <c r="Y55" s="5" t="n">
        <f aca="false">V55-L55</f>
        <v>135630.29</v>
      </c>
      <c r="Z55" s="6" t="n">
        <f aca="false">Y55/L55</f>
        <v>38.2488127467569</v>
      </c>
      <c r="AA55" s="3" t="n">
        <f aca="false">X55-P55</f>
        <v>1.11</v>
      </c>
      <c r="AB55" s="6" t="n">
        <f aca="false">AA55/P55</f>
        <v>0.555</v>
      </c>
    </row>
    <row r="56" customFormat="false" ht="12.75" hidden="false" customHeight="false" outlineLevel="0" collapsed="false">
      <c r="A56" s="0" t="s">
        <v>96</v>
      </c>
      <c r="B56" s="0" t="n">
        <v>4</v>
      </c>
      <c r="C56" s="0" t="s">
        <v>31</v>
      </c>
      <c r="D56" s="0" t="s">
        <v>31</v>
      </c>
      <c r="E56" s="0" t="n">
        <v>2333</v>
      </c>
      <c r="F56" s="0" t="n">
        <v>3852</v>
      </c>
      <c r="G56" s="0" t="n">
        <v>5</v>
      </c>
      <c r="H56" s="0" t="n">
        <v>3</v>
      </c>
      <c r="I56" s="0" t="n">
        <v>3</v>
      </c>
      <c r="J56" s="0" t="n">
        <v>12</v>
      </c>
      <c r="K56" s="0" t="n">
        <v>0.7</v>
      </c>
      <c r="L56" s="1" t="n">
        <v>3852</v>
      </c>
      <c r="M56" s="0" t="n">
        <v>0</v>
      </c>
      <c r="N56" s="0" t="n">
        <v>3852</v>
      </c>
      <c r="O56" s="0" t="n">
        <v>142903</v>
      </c>
      <c r="P56" s="1" t="n">
        <v>2.26</v>
      </c>
      <c r="Q56" s="0" t="n">
        <v>0</v>
      </c>
      <c r="R56" s="0" t="n">
        <v>1</v>
      </c>
      <c r="S56" s="0" t="s">
        <v>42</v>
      </c>
      <c r="T56" s="0" t="str">
        <f aca="false">IF(L56="inf","False","True")</f>
        <v>True</v>
      </c>
      <c r="U56" s="0" t="str">
        <f aca="false">IF(V56="inf","False","True")</f>
        <v>True</v>
      </c>
      <c r="V56" s="4" t="n">
        <v>41776.72</v>
      </c>
      <c r="W56" s="4" t="n">
        <v>137903.09</v>
      </c>
      <c r="X56" s="0" t="n">
        <v>0.87</v>
      </c>
      <c r="Y56" s="5" t="n">
        <f aca="false">V56-L56</f>
        <v>37924.72</v>
      </c>
      <c r="Z56" s="6" t="n">
        <f aca="false">Y56/L56</f>
        <v>9.84546209761163</v>
      </c>
      <c r="AA56" s="3" t="n">
        <f aca="false">X56-P56</f>
        <v>-1.39</v>
      </c>
      <c r="AB56" s="6" t="n">
        <f aca="false">AA56/P56</f>
        <v>-0.615044247787611</v>
      </c>
    </row>
    <row r="57" customFormat="false" ht="12.75" hidden="false" customHeight="false" outlineLevel="0" collapsed="false">
      <c r="A57" s="0" t="s">
        <v>97</v>
      </c>
      <c r="B57" s="0" t="n">
        <v>0</v>
      </c>
      <c r="C57" s="0" t="s">
        <v>31</v>
      </c>
      <c r="D57" s="0" t="s">
        <v>31</v>
      </c>
      <c r="E57" s="0" t="n">
        <v>3333</v>
      </c>
      <c r="F57" s="0" t="n">
        <v>5049</v>
      </c>
      <c r="G57" s="0" t="n">
        <v>5</v>
      </c>
      <c r="H57" s="0" t="n">
        <v>3</v>
      </c>
      <c r="I57" s="0" t="n">
        <v>3</v>
      </c>
      <c r="J57" s="0" t="n">
        <v>12</v>
      </c>
      <c r="K57" s="0" t="n">
        <v>0.7</v>
      </c>
      <c r="L57" s="1" t="n">
        <v>5049</v>
      </c>
      <c r="M57" s="0" t="n">
        <v>0</v>
      </c>
      <c r="N57" s="0" t="n">
        <v>5049</v>
      </c>
      <c r="O57" s="0" t="n">
        <v>225400</v>
      </c>
      <c r="P57" s="1" t="n">
        <v>2.32</v>
      </c>
      <c r="Q57" s="0" t="n">
        <v>0</v>
      </c>
      <c r="R57" s="0" t="n">
        <v>1</v>
      </c>
      <c r="S57" s="0" t="s">
        <v>42</v>
      </c>
      <c r="T57" s="0" t="str">
        <f aca="false">IF(L57="inf","False","True")</f>
        <v>True</v>
      </c>
      <c r="U57" s="0" t="str">
        <f aca="false">IF(V57="inf","False","True")</f>
        <v>True</v>
      </c>
      <c r="V57" s="4" t="n">
        <v>259433.45</v>
      </c>
      <c r="W57" s="4" t="n">
        <v>212370.52</v>
      </c>
      <c r="X57" s="0" t="n">
        <v>25.23</v>
      </c>
      <c r="Y57" s="5" t="n">
        <f aca="false">V57-L57</f>
        <v>254384.45</v>
      </c>
      <c r="Z57" s="6" t="n">
        <f aca="false">Y57/L57</f>
        <v>50.3831352743118</v>
      </c>
      <c r="AA57" s="3" t="n">
        <f aca="false">X57-P57</f>
        <v>22.91</v>
      </c>
      <c r="AB57" s="6" t="n">
        <f aca="false">AA57/P57</f>
        <v>9.875</v>
      </c>
    </row>
    <row r="58" customFormat="false" ht="12.75" hidden="false" customHeight="false" outlineLevel="0" collapsed="false">
      <c r="A58" s="0" t="s">
        <v>98</v>
      </c>
      <c r="B58" s="0" t="n">
        <v>1</v>
      </c>
      <c r="C58" s="0" t="s">
        <v>31</v>
      </c>
      <c r="D58" s="0" t="s">
        <v>31</v>
      </c>
      <c r="E58" s="0" t="n">
        <v>3333</v>
      </c>
      <c r="F58" s="0" t="n">
        <v>5480</v>
      </c>
      <c r="G58" s="0" t="n">
        <v>5</v>
      </c>
      <c r="H58" s="0" t="n">
        <v>3</v>
      </c>
      <c r="I58" s="0" t="n">
        <v>3</v>
      </c>
      <c r="J58" s="0" t="n">
        <v>12</v>
      </c>
      <c r="K58" s="0" t="n">
        <v>0.7</v>
      </c>
      <c r="L58" s="1" t="n">
        <v>5480</v>
      </c>
      <c r="M58" s="0" t="n">
        <v>0</v>
      </c>
      <c r="N58" s="0" t="n">
        <v>5480</v>
      </c>
      <c r="O58" s="0" t="n">
        <v>192162</v>
      </c>
      <c r="P58" s="1" t="n">
        <v>2.33</v>
      </c>
      <c r="Q58" s="0" t="n">
        <v>0</v>
      </c>
      <c r="R58" s="0" t="n">
        <v>1</v>
      </c>
      <c r="S58" s="0" t="s">
        <v>42</v>
      </c>
      <c r="T58" s="0" t="str">
        <f aca="false">IF(L58="inf","False","True")</f>
        <v>True</v>
      </c>
      <c r="U58" s="0" t="str">
        <f aca="false">IF(V58="inf","False","True")</f>
        <v>True</v>
      </c>
      <c r="V58" s="4" t="n">
        <v>222799.17</v>
      </c>
      <c r="W58" s="4" t="n">
        <v>187816.71</v>
      </c>
      <c r="X58" s="0" t="n">
        <v>10.08</v>
      </c>
      <c r="Y58" s="5" t="n">
        <f aca="false">V58-L58</f>
        <v>217319.17</v>
      </c>
      <c r="Z58" s="6" t="n">
        <f aca="false">Y58/L58</f>
        <v>39.6567828467153</v>
      </c>
      <c r="AA58" s="3" t="n">
        <f aca="false">X58-P58</f>
        <v>7.75</v>
      </c>
      <c r="AB58" s="6" t="n">
        <f aca="false">AA58/P58</f>
        <v>3.32618025751073</v>
      </c>
    </row>
    <row r="59" customFormat="false" ht="12.75" hidden="false" customHeight="false" outlineLevel="0" collapsed="false">
      <c r="A59" s="0" t="s">
        <v>99</v>
      </c>
      <c r="B59" s="0" t="n">
        <v>2</v>
      </c>
      <c r="C59" s="0" t="s">
        <v>31</v>
      </c>
      <c r="D59" s="0" t="s">
        <v>31</v>
      </c>
      <c r="E59" s="0" t="n">
        <v>3333</v>
      </c>
      <c r="F59" s="0" t="n">
        <v>5339</v>
      </c>
      <c r="G59" s="0" t="n">
        <v>5</v>
      </c>
      <c r="H59" s="0" t="n">
        <v>3</v>
      </c>
      <c r="I59" s="0" t="n">
        <v>3</v>
      </c>
      <c r="J59" s="0" t="n">
        <v>12</v>
      </c>
      <c r="K59" s="0" t="n">
        <v>0.7</v>
      </c>
      <c r="L59" s="1" t="n">
        <v>236506.54</v>
      </c>
      <c r="M59" s="0" t="n">
        <v>231280.75</v>
      </c>
      <c r="N59" s="0" t="n">
        <v>5225.79</v>
      </c>
      <c r="O59" s="0" t="n">
        <v>196428.29</v>
      </c>
      <c r="P59" s="1" t="n">
        <v>7.34</v>
      </c>
      <c r="Q59" s="0" t="n">
        <v>0</v>
      </c>
      <c r="R59" s="0" t="n">
        <v>6</v>
      </c>
      <c r="S59" s="0" t="s">
        <v>100</v>
      </c>
      <c r="T59" s="0" t="str">
        <f aca="false">IF(L59="inf","False","True")</f>
        <v>True</v>
      </c>
      <c r="U59" s="0" t="str">
        <f aca="false">IF(V59="inf","False","True")</f>
        <v>True</v>
      </c>
      <c r="V59" s="4" t="n">
        <v>356691.95</v>
      </c>
      <c r="W59" s="4" t="n">
        <v>191488.56</v>
      </c>
      <c r="X59" s="0" t="n">
        <v>9.66</v>
      </c>
      <c r="Y59" s="5" t="n">
        <f aca="false">V59-L59</f>
        <v>120185.41</v>
      </c>
      <c r="Z59" s="6" t="n">
        <f aca="false">Y59/L59</f>
        <v>0.508169499245137</v>
      </c>
      <c r="AA59" s="3" t="n">
        <f aca="false">X59-P59</f>
        <v>2.32</v>
      </c>
      <c r="AB59" s="6" t="n">
        <f aca="false">AA59/P59</f>
        <v>0.316076294277929</v>
      </c>
    </row>
    <row r="60" customFormat="false" ht="12.75" hidden="false" customHeight="false" outlineLevel="0" collapsed="false">
      <c r="A60" s="0" t="s">
        <v>101</v>
      </c>
      <c r="B60" s="0" t="n">
        <v>3</v>
      </c>
      <c r="C60" s="0" t="s">
        <v>31</v>
      </c>
      <c r="D60" s="0" t="s">
        <v>31</v>
      </c>
      <c r="E60" s="0" t="n">
        <v>3333</v>
      </c>
      <c r="F60" s="0" t="n">
        <v>5067</v>
      </c>
      <c r="G60" s="0" t="n">
        <v>5</v>
      </c>
      <c r="H60" s="0" t="n">
        <v>3</v>
      </c>
      <c r="I60" s="0" t="n">
        <v>3</v>
      </c>
      <c r="J60" s="0" t="n">
        <v>12</v>
      </c>
      <c r="K60" s="0" t="n">
        <v>0.7</v>
      </c>
      <c r="L60" s="1" t="n">
        <v>5067</v>
      </c>
      <c r="M60" s="0" t="n">
        <v>0</v>
      </c>
      <c r="N60" s="0" t="n">
        <v>5067</v>
      </c>
      <c r="O60" s="0" t="n">
        <v>206640</v>
      </c>
      <c r="P60" s="1" t="n">
        <v>1.94</v>
      </c>
      <c r="Q60" s="0" t="n">
        <v>0</v>
      </c>
      <c r="R60" s="0" t="n">
        <v>1</v>
      </c>
      <c r="S60" s="0" t="s">
        <v>42</v>
      </c>
      <c r="T60" s="0" t="str">
        <f aca="false">IF(L60="inf","False","True")</f>
        <v>True</v>
      </c>
      <c r="U60" s="0" t="str">
        <f aca="false">IF(V60="inf","False","True")</f>
        <v>True</v>
      </c>
      <c r="V60" s="4" t="n">
        <v>484666.91</v>
      </c>
      <c r="W60" s="4" t="n">
        <v>186958.69</v>
      </c>
      <c r="X60" s="0" t="n">
        <v>5.63</v>
      </c>
      <c r="Y60" s="5" t="n">
        <f aca="false">V60-L60</f>
        <v>479599.91</v>
      </c>
      <c r="Z60" s="6" t="n">
        <f aca="false">Y60/L60</f>
        <v>94.6516498914545</v>
      </c>
      <c r="AA60" s="3" t="n">
        <f aca="false">X60-P60</f>
        <v>3.69</v>
      </c>
      <c r="AB60" s="6" t="n">
        <f aca="false">AA60/P60</f>
        <v>1.9020618556701</v>
      </c>
    </row>
    <row r="61" customFormat="false" ht="12.75" hidden="false" customHeight="false" outlineLevel="0" collapsed="false">
      <c r="A61" s="0" t="s">
        <v>102</v>
      </c>
      <c r="B61" s="0" t="n">
        <v>4</v>
      </c>
      <c r="C61" s="0" t="s">
        <v>31</v>
      </c>
      <c r="D61" s="0" t="s">
        <v>31</v>
      </c>
      <c r="E61" s="0" t="n">
        <v>3333</v>
      </c>
      <c r="F61" s="0" t="n">
        <v>5505</v>
      </c>
      <c r="G61" s="0" t="n">
        <v>5</v>
      </c>
      <c r="H61" s="0" t="n">
        <v>3</v>
      </c>
      <c r="I61" s="0" t="n">
        <v>3</v>
      </c>
      <c r="J61" s="0" t="n">
        <v>12</v>
      </c>
      <c r="K61" s="0" t="n">
        <v>0.7</v>
      </c>
      <c r="L61" s="1" t="n">
        <v>5505</v>
      </c>
      <c r="M61" s="0" t="n">
        <v>0</v>
      </c>
      <c r="N61" s="0" t="n">
        <v>5505</v>
      </c>
      <c r="O61" s="0" t="n">
        <v>204161</v>
      </c>
      <c r="P61" s="1" t="n">
        <v>2.02</v>
      </c>
      <c r="Q61" s="0" t="n">
        <v>0</v>
      </c>
      <c r="R61" s="0" t="n">
        <v>1</v>
      </c>
      <c r="S61" s="0" t="s">
        <v>42</v>
      </c>
      <c r="T61" s="0" t="str">
        <f aca="false">IF(L61="inf","False","True")</f>
        <v>True</v>
      </c>
      <c r="U61" s="0" t="str">
        <f aca="false">IF(V61="inf","False","True")</f>
        <v>True</v>
      </c>
      <c r="V61" s="4" t="n">
        <v>5425.32</v>
      </c>
      <c r="W61" s="4" t="n">
        <v>204161</v>
      </c>
      <c r="X61" s="0" t="n">
        <v>12.52</v>
      </c>
      <c r="Y61" s="5" t="n">
        <f aca="false">V61-L61</f>
        <v>-79.6800000000003</v>
      </c>
      <c r="Z61" s="6" t="n">
        <f aca="false">Y61/L61</f>
        <v>-0.0144741144414169</v>
      </c>
      <c r="AA61" s="3" t="n">
        <f aca="false">X61-P61</f>
        <v>10.5</v>
      </c>
      <c r="AB61" s="6" t="n">
        <f aca="false">AA61/P61</f>
        <v>5.1980198019802</v>
      </c>
    </row>
    <row r="62" customFormat="false" ht="12.75" hidden="false" customHeight="false" outlineLevel="0" collapsed="false">
      <c r="A62" s="0" t="s">
        <v>103</v>
      </c>
      <c r="B62" s="0" t="n">
        <v>0</v>
      </c>
      <c r="C62" s="0" t="s">
        <v>31</v>
      </c>
      <c r="D62" s="0" t="s">
        <v>31</v>
      </c>
      <c r="E62" s="0" t="n">
        <v>1000</v>
      </c>
      <c r="F62" s="0" t="n">
        <v>602</v>
      </c>
      <c r="G62" s="0" t="n">
        <v>10</v>
      </c>
      <c r="H62" s="0" t="n">
        <v>3</v>
      </c>
      <c r="I62" s="0" t="n">
        <v>3</v>
      </c>
      <c r="J62" s="0" t="n">
        <v>4</v>
      </c>
      <c r="K62" s="0" t="n">
        <v>0.7</v>
      </c>
      <c r="L62" s="1" t="n">
        <v>146219.72</v>
      </c>
      <c r="M62" s="0" t="n">
        <v>145625</v>
      </c>
      <c r="N62" s="0" t="n">
        <v>594.72</v>
      </c>
      <c r="O62" s="0" t="n">
        <v>112840</v>
      </c>
      <c r="P62" s="1" t="n">
        <v>2.67</v>
      </c>
      <c r="Q62" s="0" t="n">
        <v>0</v>
      </c>
      <c r="R62" s="0" t="n">
        <v>2</v>
      </c>
      <c r="S62" s="0" t="s">
        <v>32</v>
      </c>
      <c r="T62" s="0" t="str">
        <f aca="false">IF(L62="inf","False","True")</f>
        <v>True</v>
      </c>
      <c r="U62" s="0" t="str">
        <f aca="false">IF(V62="inf","False","True")</f>
        <v>True</v>
      </c>
      <c r="V62" s="4" t="n">
        <v>85356.95</v>
      </c>
      <c r="W62" s="4" t="n">
        <v>112840</v>
      </c>
      <c r="X62" s="0" t="n">
        <v>0.51</v>
      </c>
      <c r="Y62" s="5" t="n">
        <f aca="false">V62-L62</f>
        <v>-60862.77</v>
      </c>
      <c r="Z62" s="6" t="n">
        <f aca="false">Y62/L62</f>
        <v>-0.416241872163344</v>
      </c>
      <c r="AA62" s="3" t="n">
        <f aca="false">X62-P62</f>
        <v>-2.16</v>
      </c>
      <c r="AB62" s="6" t="n">
        <f aca="false">AA62/P62</f>
        <v>-0.808988764044944</v>
      </c>
    </row>
    <row r="63" customFormat="false" ht="12.75" hidden="false" customHeight="false" outlineLevel="0" collapsed="false">
      <c r="A63" s="0" t="s">
        <v>104</v>
      </c>
      <c r="B63" s="0" t="n">
        <v>1</v>
      </c>
      <c r="C63" s="0" t="s">
        <v>31</v>
      </c>
      <c r="D63" s="0" t="s">
        <v>31</v>
      </c>
      <c r="E63" s="0" t="n">
        <v>1000</v>
      </c>
      <c r="F63" s="0" t="n">
        <v>667</v>
      </c>
      <c r="G63" s="0" t="n">
        <v>10</v>
      </c>
      <c r="H63" s="0" t="n">
        <v>3</v>
      </c>
      <c r="I63" s="0" t="n">
        <v>3</v>
      </c>
      <c r="J63" s="0" t="n">
        <v>4</v>
      </c>
      <c r="K63" s="0" t="n">
        <v>0.7</v>
      </c>
      <c r="L63" s="1" t="n">
        <v>305616.16</v>
      </c>
      <c r="M63" s="0" t="n">
        <v>304962.82</v>
      </c>
      <c r="N63" s="0" t="n">
        <v>653.33</v>
      </c>
      <c r="O63" s="0" t="n">
        <v>114958.29</v>
      </c>
      <c r="P63" s="1" t="n">
        <v>5.7</v>
      </c>
      <c r="Q63" s="0" t="n">
        <v>0</v>
      </c>
      <c r="R63" s="0" t="n">
        <v>30</v>
      </c>
      <c r="S63" s="0" t="s">
        <v>32</v>
      </c>
      <c r="T63" s="0" t="str">
        <f aca="false">IF(L63="inf","False","True")</f>
        <v>True</v>
      </c>
      <c r="U63" s="0" t="str">
        <f aca="false">IF(V63="inf","False","True")</f>
        <v>True</v>
      </c>
      <c r="V63" s="4" t="n">
        <v>131409.34</v>
      </c>
      <c r="W63" s="4" t="n">
        <v>125002.11</v>
      </c>
      <c r="X63" s="0" t="n">
        <v>3.13</v>
      </c>
      <c r="Y63" s="5" t="n">
        <f aca="false">V63-L63</f>
        <v>-174206.82</v>
      </c>
      <c r="Z63" s="6" t="n">
        <f aca="false">Y63/L63</f>
        <v>-0.570018352432672</v>
      </c>
      <c r="AA63" s="3" t="n">
        <f aca="false">X63-P63</f>
        <v>-2.57</v>
      </c>
      <c r="AB63" s="6" t="n">
        <f aca="false">AA63/P63</f>
        <v>-0.450877192982456</v>
      </c>
    </row>
    <row r="64" customFormat="false" ht="12.75" hidden="false" customHeight="false" outlineLevel="0" collapsed="false">
      <c r="A64" s="0" t="s">
        <v>105</v>
      </c>
      <c r="B64" s="0" t="n">
        <v>2</v>
      </c>
      <c r="C64" s="0" t="s">
        <v>31</v>
      </c>
      <c r="D64" s="0" t="s">
        <v>31</v>
      </c>
      <c r="E64" s="0" t="n">
        <v>1000</v>
      </c>
      <c r="F64" s="0" t="n">
        <v>709</v>
      </c>
      <c r="G64" s="0" t="n">
        <v>10</v>
      </c>
      <c r="H64" s="0" t="n">
        <v>3</v>
      </c>
      <c r="I64" s="0" t="n">
        <v>3</v>
      </c>
      <c r="J64" s="0" t="n">
        <v>4</v>
      </c>
      <c r="K64" s="0" t="n">
        <v>0.7</v>
      </c>
      <c r="L64" s="1" t="n">
        <v>241074.43</v>
      </c>
      <c r="M64" s="0" t="n">
        <v>240365.43</v>
      </c>
      <c r="N64" s="0" t="n">
        <v>709</v>
      </c>
      <c r="O64" s="0" t="n">
        <v>106642.62</v>
      </c>
      <c r="P64" s="1" t="n">
        <v>4.24</v>
      </c>
      <c r="Q64" s="0" t="n">
        <v>0</v>
      </c>
      <c r="R64" s="0" t="n">
        <v>20</v>
      </c>
      <c r="S64" s="0" t="s">
        <v>32</v>
      </c>
      <c r="T64" s="0" t="str">
        <f aca="false">IF(L64="inf","False","True")</f>
        <v>True</v>
      </c>
      <c r="U64" s="0" t="str">
        <f aca="false">IF(V64="inf","False","True")</f>
        <v>True</v>
      </c>
      <c r="V64" s="4" t="n">
        <v>172736.56</v>
      </c>
      <c r="W64" s="4" t="n">
        <v>109573.22</v>
      </c>
      <c r="X64" s="0" t="n">
        <v>4.9</v>
      </c>
      <c r="Y64" s="5" t="n">
        <f aca="false">V64-L64</f>
        <v>-68337.87</v>
      </c>
      <c r="Z64" s="6" t="n">
        <f aca="false">Y64/L64</f>
        <v>-0.283472079556509</v>
      </c>
      <c r="AA64" s="3" t="n">
        <f aca="false">X64-P64</f>
        <v>0.66</v>
      </c>
      <c r="AB64" s="6" t="n">
        <f aca="false">AA64/P64</f>
        <v>0.155660377358491</v>
      </c>
    </row>
    <row r="65" customFormat="false" ht="12.75" hidden="false" customHeight="false" outlineLevel="0" collapsed="false">
      <c r="A65" s="0" t="s">
        <v>106</v>
      </c>
      <c r="B65" s="0" t="n">
        <v>3</v>
      </c>
      <c r="C65" s="0" t="s">
        <v>31</v>
      </c>
      <c r="D65" s="0" t="s">
        <v>31</v>
      </c>
      <c r="E65" s="0" t="n">
        <v>1000</v>
      </c>
      <c r="F65" s="0" t="n">
        <v>646</v>
      </c>
      <c r="G65" s="0" t="n">
        <v>10</v>
      </c>
      <c r="H65" s="0" t="n">
        <v>3</v>
      </c>
      <c r="I65" s="0" t="n">
        <v>3</v>
      </c>
      <c r="J65" s="0" t="n">
        <v>4</v>
      </c>
      <c r="K65" s="0" t="n">
        <v>0.7</v>
      </c>
      <c r="L65" s="1" t="n">
        <v>353769.78</v>
      </c>
      <c r="M65" s="0" t="n">
        <v>353123.78</v>
      </c>
      <c r="N65" s="0" t="n">
        <v>646</v>
      </c>
      <c r="O65" s="0" t="n">
        <v>116908.3</v>
      </c>
      <c r="P65" s="1" t="n">
        <v>3.21</v>
      </c>
      <c r="Q65" s="0" t="n">
        <v>0</v>
      </c>
      <c r="R65" s="0" t="n">
        <v>2</v>
      </c>
      <c r="S65" s="0" t="s">
        <v>32</v>
      </c>
      <c r="T65" s="0" t="str">
        <f aca="false">IF(L65="inf","False","True")</f>
        <v>True</v>
      </c>
      <c r="U65" s="0" t="str">
        <f aca="false">IF(V65="inf","False","True")</f>
        <v>False</v>
      </c>
      <c r="V65" s="4" t="s">
        <v>37</v>
      </c>
      <c r="W65" s="4" t="s">
        <v>37</v>
      </c>
      <c r="X65" s="0" t="n">
        <v>5.67</v>
      </c>
      <c r="Y65" s="5" t="e">
        <f aca="false">V65-L65</f>
        <v>#VALUE!</v>
      </c>
      <c r="Z65" s="6" t="e">
        <f aca="false">Y65/L65</f>
        <v>#VALUE!</v>
      </c>
      <c r="AA65" s="3" t="n">
        <f aca="false">X65-P65</f>
        <v>2.46</v>
      </c>
      <c r="AB65" s="6" t="n">
        <f aca="false">AA65/P65</f>
        <v>0.766355140186916</v>
      </c>
    </row>
    <row r="66" customFormat="false" ht="12.75" hidden="false" customHeight="false" outlineLevel="0" collapsed="false">
      <c r="A66" s="0" t="s">
        <v>107</v>
      </c>
      <c r="B66" s="0" t="n">
        <v>4</v>
      </c>
      <c r="C66" s="0" t="s">
        <v>31</v>
      </c>
      <c r="D66" s="0" t="s">
        <v>31</v>
      </c>
      <c r="E66" s="0" t="n">
        <v>1000</v>
      </c>
      <c r="F66" s="0" t="n">
        <v>739</v>
      </c>
      <c r="G66" s="0" t="n">
        <v>10</v>
      </c>
      <c r="H66" s="0" t="n">
        <v>3</v>
      </c>
      <c r="I66" s="0" t="n">
        <v>3</v>
      </c>
      <c r="J66" s="0" t="n">
        <v>4</v>
      </c>
      <c r="K66" s="0" t="n">
        <v>0.7</v>
      </c>
      <c r="L66" s="1" t="n">
        <v>240114.86</v>
      </c>
      <c r="M66" s="0" t="n">
        <v>239404.44</v>
      </c>
      <c r="N66" s="0" t="n">
        <v>710.42</v>
      </c>
      <c r="O66" s="0" t="n">
        <v>115027.79</v>
      </c>
      <c r="P66" s="1" t="n">
        <v>2.18</v>
      </c>
      <c r="Q66" s="0" t="n">
        <v>0</v>
      </c>
      <c r="R66" s="0" t="n">
        <v>4</v>
      </c>
      <c r="S66" s="0" t="s">
        <v>32</v>
      </c>
      <c r="T66" s="0" t="str">
        <f aca="false">IF(L66="inf","False","True")</f>
        <v>True</v>
      </c>
      <c r="U66" s="0" t="str">
        <f aca="false">IF(V66="inf","False","True")</f>
        <v>True</v>
      </c>
      <c r="V66" s="4" t="n">
        <v>826.21</v>
      </c>
      <c r="W66" s="4" t="n">
        <v>127434</v>
      </c>
      <c r="X66" s="0" t="n">
        <v>4.15</v>
      </c>
      <c r="Y66" s="5" t="n">
        <f aca="false">V66-L66</f>
        <v>-239288.65</v>
      </c>
      <c r="Z66" s="6" t="n">
        <f aca="false">Y66/L66</f>
        <v>-0.99655910508829</v>
      </c>
      <c r="AA66" s="3" t="n">
        <f aca="false">X66-P66</f>
        <v>1.97</v>
      </c>
      <c r="AB66" s="6" t="n">
        <f aca="false">AA66/P66</f>
        <v>0.903669724770642</v>
      </c>
    </row>
    <row r="67" customFormat="false" ht="12.75" hidden="false" customHeight="false" outlineLevel="0" collapsed="false">
      <c r="A67" s="0" t="s">
        <v>108</v>
      </c>
      <c r="B67" s="0" t="n">
        <v>0</v>
      </c>
      <c r="C67" s="0" t="s">
        <v>31</v>
      </c>
      <c r="D67" s="0" t="s">
        <v>31</v>
      </c>
      <c r="E67" s="0" t="n">
        <v>1666</v>
      </c>
      <c r="F67" s="0" t="n">
        <v>1005</v>
      </c>
      <c r="G67" s="0" t="n">
        <v>10</v>
      </c>
      <c r="H67" s="0" t="n">
        <v>3</v>
      </c>
      <c r="I67" s="0" t="n">
        <v>3</v>
      </c>
      <c r="J67" s="0" t="n">
        <v>4</v>
      </c>
      <c r="K67" s="0" t="n">
        <v>0.7</v>
      </c>
      <c r="L67" s="1" t="n">
        <v>189580</v>
      </c>
      <c r="M67" s="0" t="n">
        <v>188575</v>
      </c>
      <c r="N67" s="0" t="n">
        <v>1005</v>
      </c>
      <c r="O67" s="0" t="n">
        <v>188067</v>
      </c>
      <c r="P67" s="1" t="n">
        <v>4</v>
      </c>
      <c r="Q67" s="0" t="n">
        <v>0</v>
      </c>
      <c r="R67" s="0" t="n">
        <v>5</v>
      </c>
      <c r="S67" s="0" t="s">
        <v>32</v>
      </c>
      <c r="T67" s="0" t="str">
        <f aca="false">IF(L67="inf","False","True")</f>
        <v>True</v>
      </c>
      <c r="U67" s="0" t="str">
        <f aca="false">IF(V67="inf","False","True")</f>
        <v>True</v>
      </c>
      <c r="V67" s="4" t="n">
        <v>88545.03</v>
      </c>
      <c r="W67" s="4" t="n">
        <v>189551</v>
      </c>
      <c r="X67" s="0" t="n">
        <v>5.62</v>
      </c>
      <c r="Y67" s="5" t="n">
        <f aca="false">V67-L67</f>
        <v>-101034.97</v>
      </c>
      <c r="Z67" s="6" t="n">
        <f aca="false">Y67/L67</f>
        <v>-0.53294108028273</v>
      </c>
      <c r="AA67" s="3" t="n">
        <f aca="false">X67-P67</f>
        <v>1.62</v>
      </c>
      <c r="AB67" s="6" t="n">
        <f aca="false">AA67/P67</f>
        <v>0.405</v>
      </c>
    </row>
    <row r="68" customFormat="false" ht="12.75" hidden="false" customHeight="false" outlineLevel="0" collapsed="false">
      <c r="A68" s="0" t="s">
        <v>109</v>
      </c>
      <c r="B68" s="0" t="n">
        <v>1</v>
      </c>
      <c r="C68" s="0" t="s">
        <v>31</v>
      </c>
      <c r="D68" s="0" t="s">
        <v>31</v>
      </c>
      <c r="E68" s="0" t="n">
        <v>1666</v>
      </c>
      <c r="F68" s="0" t="n">
        <v>1112</v>
      </c>
      <c r="G68" s="0" t="n">
        <v>10</v>
      </c>
      <c r="H68" s="0" t="n">
        <v>3</v>
      </c>
      <c r="I68" s="0" t="n">
        <v>3</v>
      </c>
      <c r="J68" s="0" t="n">
        <v>4</v>
      </c>
      <c r="K68" s="0" t="n">
        <v>0.7</v>
      </c>
      <c r="L68" s="1" t="n">
        <v>544778.7</v>
      </c>
      <c r="M68" s="0" t="n">
        <v>543689.63</v>
      </c>
      <c r="N68" s="0" t="n">
        <v>1089.07</v>
      </c>
      <c r="O68" s="0" t="n">
        <v>191633.98</v>
      </c>
      <c r="P68" s="1" t="n">
        <v>6.89</v>
      </c>
      <c r="Q68" s="0" t="n">
        <v>0</v>
      </c>
      <c r="R68" s="0" t="n">
        <v>26</v>
      </c>
      <c r="S68" s="0" t="s">
        <v>32</v>
      </c>
      <c r="T68" s="0" t="str">
        <f aca="false">IF(L68="inf","False","True")</f>
        <v>True</v>
      </c>
      <c r="U68" s="0" t="str">
        <f aca="false">IF(V68="inf","False","True")</f>
        <v>True</v>
      </c>
      <c r="V68" s="4" t="n">
        <v>81938.57</v>
      </c>
      <c r="W68" s="4" t="n">
        <v>211906.74</v>
      </c>
      <c r="X68" s="0" t="n">
        <v>2.39</v>
      </c>
      <c r="Y68" s="5" t="n">
        <f aca="false">V68-L68</f>
        <v>-462840.13</v>
      </c>
      <c r="Z68" s="6" t="n">
        <f aca="false">Y68/L68</f>
        <v>-0.84959292644885</v>
      </c>
      <c r="AA68" s="3" t="n">
        <f aca="false">X68-P68</f>
        <v>-4.5</v>
      </c>
      <c r="AB68" s="6" t="n">
        <f aca="false">AA68/P68</f>
        <v>-0.653120464441219</v>
      </c>
    </row>
    <row r="69" customFormat="false" ht="12.75" hidden="false" customHeight="false" outlineLevel="0" collapsed="false">
      <c r="A69" s="0" t="s">
        <v>110</v>
      </c>
      <c r="B69" s="0" t="n">
        <v>2</v>
      </c>
      <c r="C69" s="0" t="s">
        <v>31</v>
      </c>
      <c r="D69" s="0" t="s">
        <v>31</v>
      </c>
      <c r="E69" s="0" t="n">
        <v>1666</v>
      </c>
      <c r="F69" s="0" t="n">
        <v>1183</v>
      </c>
      <c r="G69" s="0" t="n">
        <v>10</v>
      </c>
      <c r="H69" s="0" t="n">
        <v>3</v>
      </c>
      <c r="I69" s="0" t="n">
        <v>3</v>
      </c>
      <c r="J69" s="0" t="n">
        <v>4</v>
      </c>
      <c r="K69" s="0" t="n">
        <v>0.7</v>
      </c>
      <c r="L69" s="1" t="n">
        <v>402063.12</v>
      </c>
      <c r="M69" s="0" t="n">
        <v>400880.12</v>
      </c>
      <c r="N69" s="0" t="n">
        <v>1183</v>
      </c>
      <c r="O69" s="0" t="n">
        <v>177715.42</v>
      </c>
      <c r="P69" s="1" t="n">
        <v>5.2</v>
      </c>
      <c r="Q69" s="0" t="n">
        <v>0</v>
      </c>
      <c r="R69" s="0" t="n">
        <v>30</v>
      </c>
      <c r="S69" s="0" t="s">
        <v>32</v>
      </c>
      <c r="T69" s="0" t="str">
        <f aca="false">IF(L69="inf","False","True")</f>
        <v>True</v>
      </c>
      <c r="U69" s="0" t="str">
        <f aca="false">IF(V69="inf","False","True")</f>
        <v>True</v>
      </c>
      <c r="V69" s="4" t="n">
        <v>325856.84</v>
      </c>
      <c r="W69" s="4" t="n">
        <v>182494.54</v>
      </c>
      <c r="X69" s="0" t="n">
        <v>1.03</v>
      </c>
      <c r="Y69" s="5" t="n">
        <f aca="false">V69-L69</f>
        <v>-76206.28</v>
      </c>
      <c r="Z69" s="6" t="n">
        <f aca="false">Y69/L69</f>
        <v>-0.18953810038583</v>
      </c>
      <c r="AA69" s="3" t="n">
        <f aca="false">X69-P69</f>
        <v>-4.17</v>
      </c>
      <c r="AB69" s="6" t="n">
        <f aca="false">AA69/P69</f>
        <v>-0.801923076923077</v>
      </c>
    </row>
    <row r="70" customFormat="false" ht="12.75" hidden="false" customHeight="false" outlineLevel="0" collapsed="false">
      <c r="A70" s="0" t="s">
        <v>111</v>
      </c>
      <c r="B70" s="0" t="n">
        <v>3</v>
      </c>
      <c r="C70" s="0" t="s">
        <v>31</v>
      </c>
      <c r="D70" s="0" t="s">
        <v>31</v>
      </c>
      <c r="E70" s="0" t="n">
        <v>1666</v>
      </c>
      <c r="F70" s="0" t="n">
        <v>1080</v>
      </c>
      <c r="G70" s="0" t="n">
        <v>10</v>
      </c>
      <c r="H70" s="0" t="n">
        <v>3</v>
      </c>
      <c r="I70" s="0" t="n">
        <v>3</v>
      </c>
      <c r="J70" s="0" t="n">
        <v>4</v>
      </c>
      <c r="K70" s="0" t="n">
        <v>0.7</v>
      </c>
      <c r="L70" s="1" t="n">
        <v>588803.53</v>
      </c>
      <c r="M70" s="0" t="n">
        <v>587738.29</v>
      </c>
      <c r="N70" s="0" t="n">
        <v>1065.24</v>
      </c>
      <c r="O70" s="0" t="n">
        <v>194910.19</v>
      </c>
      <c r="P70" s="1" t="n">
        <v>4.15</v>
      </c>
      <c r="Q70" s="0" t="n">
        <v>0</v>
      </c>
      <c r="R70" s="0" t="n">
        <v>5</v>
      </c>
      <c r="S70" s="0" t="s">
        <v>32</v>
      </c>
      <c r="T70" s="0" t="str">
        <f aca="false">IF(L70="inf","False","True")</f>
        <v>True</v>
      </c>
      <c r="U70" s="0" t="str">
        <f aca="false">IF(V70="inf","False","True")</f>
        <v>True</v>
      </c>
      <c r="V70" s="4" t="n">
        <v>459915.67</v>
      </c>
      <c r="W70" s="4" t="n">
        <v>204102.51</v>
      </c>
      <c r="X70" s="0" t="n">
        <v>0.53</v>
      </c>
      <c r="Y70" s="5" t="n">
        <f aca="false">V70-L70</f>
        <v>-128887.86</v>
      </c>
      <c r="Z70" s="6" t="n">
        <f aca="false">Y70/L70</f>
        <v>-0.218897906403516</v>
      </c>
      <c r="AA70" s="3" t="n">
        <f aca="false">X70-P70</f>
        <v>-3.62</v>
      </c>
      <c r="AB70" s="6" t="n">
        <f aca="false">AA70/P70</f>
        <v>-0.872289156626506</v>
      </c>
    </row>
    <row r="71" customFormat="false" ht="12.75" hidden="false" customHeight="false" outlineLevel="0" collapsed="false">
      <c r="A71" s="0" t="s">
        <v>112</v>
      </c>
      <c r="B71" s="0" t="n">
        <v>4</v>
      </c>
      <c r="C71" s="0" t="s">
        <v>31</v>
      </c>
      <c r="D71" s="0" t="s">
        <v>31</v>
      </c>
      <c r="E71" s="0" t="n">
        <v>1666</v>
      </c>
      <c r="F71" s="0" t="n">
        <v>1233</v>
      </c>
      <c r="G71" s="0" t="n">
        <v>10</v>
      </c>
      <c r="H71" s="0" t="n">
        <v>3</v>
      </c>
      <c r="I71" s="0" t="n">
        <v>3</v>
      </c>
      <c r="J71" s="0" t="n">
        <v>4</v>
      </c>
      <c r="K71" s="0" t="n">
        <v>0.7</v>
      </c>
      <c r="L71" s="1" t="n">
        <v>351752.56</v>
      </c>
      <c r="M71" s="0" t="n">
        <v>350519.56</v>
      </c>
      <c r="N71" s="0" t="n">
        <v>1233</v>
      </c>
      <c r="O71" s="0" t="n">
        <v>191190.92</v>
      </c>
      <c r="P71" s="1" t="n">
        <v>2.51</v>
      </c>
      <c r="Q71" s="0" t="n">
        <v>0</v>
      </c>
      <c r="R71" s="0" t="n">
        <v>4</v>
      </c>
      <c r="S71" s="0" t="s">
        <v>32</v>
      </c>
      <c r="T71" s="0" t="str">
        <f aca="false">IF(L71="inf","False","True")</f>
        <v>True</v>
      </c>
      <c r="U71" s="0" t="str">
        <f aca="false">IF(V71="inf","False","True")</f>
        <v>True</v>
      </c>
      <c r="V71" s="4" t="n">
        <v>297252.52</v>
      </c>
      <c r="W71" s="4" t="n">
        <v>200693.92</v>
      </c>
      <c r="X71" s="0" t="n">
        <v>0.5</v>
      </c>
      <c r="Y71" s="5" t="n">
        <f aca="false">V71-L71</f>
        <v>-54500.04</v>
      </c>
      <c r="Z71" s="6" t="n">
        <f aca="false">Y71/L71</f>
        <v>-0.154938573865674</v>
      </c>
      <c r="AA71" s="3" t="n">
        <f aca="false">X71-P71</f>
        <v>-2.01</v>
      </c>
      <c r="AB71" s="6" t="n">
        <f aca="false">AA71/P71</f>
        <v>-0.800796812749004</v>
      </c>
    </row>
    <row r="72" customFormat="false" ht="12.75" hidden="false" customHeight="false" outlineLevel="0" collapsed="false">
      <c r="A72" s="0" t="s">
        <v>113</v>
      </c>
      <c r="B72" s="0" t="n">
        <v>0</v>
      </c>
      <c r="C72" s="0" t="s">
        <v>31</v>
      </c>
      <c r="D72" s="0" t="s">
        <v>31</v>
      </c>
      <c r="E72" s="0" t="n">
        <v>2333</v>
      </c>
      <c r="F72" s="0" t="n">
        <v>1407</v>
      </c>
      <c r="G72" s="0" t="n">
        <v>10</v>
      </c>
      <c r="H72" s="0" t="n">
        <v>3</v>
      </c>
      <c r="I72" s="0" t="n">
        <v>3</v>
      </c>
      <c r="J72" s="0" t="n">
        <v>4</v>
      </c>
      <c r="K72" s="0" t="n">
        <v>0.7</v>
      </c>
      <c r="L72" s="1" t="n">
        <v>265124</v>
      </c>
      <c r="M72" s="0" t="n">
        <v>263717</v>
      </c>
      <c r="N72" s="0" t="n">
        <v>1407</v>
      </c>
      <c r="O72" s="0" t="n">
        <v>263271</v>
      </c>
      <c r="P72" s="1" t="n">
        <v>3.97</v>
      </c>
      <c r="Q72" s="0" t="n">
        <v>0</v>
      </c>
      <c r="R72" s="0" t="n">
        <v>6</v>
      </c>
      <c r="S72" s="0" t="s">
        <v>32</v>
      </c>
      <c r="T72" s="0" t="str">
        <f aca="false">IF(L72="inf","False","True")</f>
        <v>True</v>
      </c>
      <c r="U72" s="0" t="str">
        <f aca="false">IF(V72="inf","False","True")</f>
        <v>False</v>
      </c>
      <c r="V72" s="4" t="s">
        <v>37</v>
      </c>
      <c r="W72" s="4" t="s">
        <v>37</v>
      </c>
      <c r="X72" s="0" t="n">
        <v>5.03</v>
      </c>
      <c r="Y72" s="5" t="e">
        <f aca="false">V72-L72</f>
        <v>#VALUE!</v>
      </c>
      <c r="Z72" s="6" t="e">
        <f aca="false">Y72/L72</f>
        <v>#VALUE!</v>
      </c>
      <c r="AA72" s="3" t="n">
        <f aca="false">X72-P72</f>
        <v>1.06</v>
      </c>
      <c r="AB72" s="6" t="n">
        <f aca="false">AA72/P72</f>
        <v>0.267002518891688</v>
      </c>
    </row>
    <row r="73" customFormat="false" ht="12.75" hidden="false" customHeight="false" outlineLevel="0" collapsed="false">
      <c r="A73" s="0" t="s">
        <v>114</v>
      </c>
      <c r="B73" s="0" t="n">
        <v>1</v>
      </c>
      <c r="C73" s="0" t="s">
        <v>31</v>
      </c>
      <c r="D73" s="0" t="s">
        <v>31</v>
      </c>
      <c r="E73" s="0" t="n">
        <v>2333</v>
      </c>
      <c r="F73" s="0" t="n">
        <v>1558</v>
      </c>
      <c r="G73" s="0" t="n">
        <v>10</v>
      </c>
      <c r="H73" s="0" t="n">
        <v>3</v>
      </c>
      <c r="I73" s="0" t="n">
        <v>3</v>
      </c>
      <c r="J73" s="0" t="n">
        <v>4</v>
      </c>
      <c r="K73" s="0" t="n">
        <v>0.7</v>
      </c>
      <c r="L73" s="1" t="n">
        <v>696891.95</v>
      </c>
      <c r="M73" s="0" t="n">
        <v>695366.02</v>
      </c>
      <c r="N73" s="0" t="n">
        <v>1525.93</v>
      </c>
      <c r="O73" s="0" t="n">
        <v>268289.41</v>
      </c>
      <c r="P73" s="1" t="n">
        <v>6.49</v>
      </c>
      <c r="Q73" s="0" t="n">
        <v>0</v>
      </c>
      <c r="R73" s="0" t="n">
        <v>27</v>
      </c>
      <c r="S73" s="0" t="s">
        <v>32</v>
      </c>
      <c r="T73" s="0" t="str">
        <f aca="false">IF(L73="inf","False","True")</f>
        <v>True</v>
      </c>
      <c r="U73" s="0" t="str">
        <f aca="false">IF(V73="inf","False","True")</f>
        <v>True</v>
      </c>
      <c r="V73" s="4" t="n">
        <v>500609.86</v>
      </c>
      <c r="W73" s="4" t="n">
        <v>314858.11</v>
      </c>
      <c r="X73" s="0" t="n">
        <v>4.09</v>
      </c>
      <c r="Y73" s="5" t="n">
        <f aca="false">V73-L73</f>
        <v>-196282.09</v>
      </c>
      <c r="Z73" s="6" t="n">
        <f aca="false">Y73/L73</f>
        <v>-0.281653547583668</v>
      </c>
      <c r="AA73" s="3" t="n">
        <f aca="false">X73-P73</f>
        <v>-2.4</v>
      </c>
      <c r="AB73" s="6" t="n">
        <f aca="false">AA73/P73</f>
        <v>-0.36979969183359</v>
      </c>
    </row>
    <row r="74" customFormat="false" ht="12.75" hidden="false" customHeight="false" outlineLevel="0" collapsed="false">
      <c r="A74" s="0" t="s">
        <v>115</v>
      </c>
      <c r="B74" s="0" t="n">
        <v>2</v>
      </c>
      <c r="C74" s="0" t="s">
        <v>31</v>
      </c>
      <c r="D74" s="0" t="s">
        <v>31</v>
      </c>
      <c r="E74" s="0" t="n">
        <v>2333</v>
      </c>
      <c r="F74" s="0" t="n">
        <v>1656</v>
      </c>
      <c r="G74" s="0" t="n">
        <v>10</v>
      </c>
      <c r="H74" s="0" t="n">
        <v>3</v>
      </c>
      <c r="I74" s="0" t="n">
        <v>3</v>
      </c>
      <c r="J74" s="0" t="n">
        <v>4</v>
      </c>
      <c r="K74" s="0" t="n">
        <v>0.7</v>
      </c>
      <c r="L74" s="1" t="n">
        <v>563120.82</v>
      </c>
      <c r="M74" s="0" t="n">
        <v>561464.82</v>
      </c>
      <c r="N74" s="0" t="n">
        <v>1656</v>
      </c>
      <c r="O74" s="0" t="n">
        <v>248813.22</v>
      </c>
      <c r="P74" s="1" t="n">
        <v>4.82</v>
      </c>
      <c r="Q74" s="0" t="n">
        <v>0</v>
      </c>
      <c r="R74" s="0" t="n">
        <v>7</v>
      </c>
      <c r="S74" s="0" t="s">
        <v>32</v>
      </c>
      <c r="T74" s="0" t="str">
        <f aca="false">IF(L74="inf","False","True")</f>
        <v>True</v>
      </c>
      <c r="U74" s="0" t="str">
        <f aca="false">IF(V74="inf","False","True")</f>
        <v>True</v>
      </c>
      <c r="V74" s="4" t="n">
        <v>651485.43</v>
      </c>
      <c r="W74" s="4" t="n">
        <v>250910.18</v>
      </c>
      <c r="X74" s="0" t="n">
        <v>5.17</v>
      </c>
      <c r="Y74" s="5" t="n">
        <f aca="false">V74-L74</f>
        <v>88364.6100000001</v>
      </c>
      <c r="Z74" s="6" t="n">
        <f aca="false">Y74/L74</f>
        <v>0.156919451140166</v>
      </c>
      <c r="AA74" s="3" t="n">
        <f aca="false">X74-P74</f>
        <v>0.35</v>
      </c>
      <c r="AB74" s="6" t="n">
        <f aca="false">AA74/P74</f>
        <v>0.0726141078838174</v>
      </c>
    </row>
    <row r="75" customFormat="false" ht="12.75" hidden="false" customHeight="false" outlineLevel="0" collapsed="false">
      <c r="A75" s="0" t="s">
        <v>116</v>
      </c>
      <c r="B75" s="0" t="n">
        <v>3</v>
      </c>
      <c r="C75" s="0" t="s">
        <v>31</v>
      </c>
      <c r="D75" s="0" t="s">
        <v>31</v>
      </c>
      <c r="E75" s="0" t="n">
        <v>2333</v>
      </c>
      <c r="F75" s="0" t="n">
        <v>1512</v>
      </c>
      <c r="G75" s="0" t="n">
        <v>10</v>
      </c>
      <c r="H75" s="0" t="n">
        <v>3</v>
      </c>
      <c r="I75" s="0" t="n">
        <v>3</v>
      </c>
      <c r="J75" s="0" t="n">
        <v>4</v>
      </c>
      <c r="K75" s="0" t="n">
        <v>0.7</v>
      </c>
      <c r="L75" s="1" t="n">
        <v>675405.81</v>
      </c>
      <c r="M75" s="0" t="n">
        <v>673908.54</v>
      </c>
      <c r="N75" s="0" t="n">
        <v>1497.27</v>
      </c>
      <c r="O75" s="0" t="n">
        <v>281450.31</v>
      </c>
      <c r="P75" s="1" t="n">
        <v>3.43</v>
      </c>
      <c r="Q75" s="0" t="n">
        <v>0</v>
      </c>
      <c r="R75" s="0" t="n">
        <v>3</v>
      </c>
      <c r="S75" s="0" t="s">
        <v>32</v>
      </c>
      <c r="T75" s="0" t="str">
        <f aca="false">IF(L75="inf","False","True")</f>
        <v>True</v>
      </c>
      <c r="U75" s="0" t="str">
        <f aca="false">IF(V75="inf","False","True")</f>
        <v>True</v>
      </c>
      <c r="V75" s="4" t="n">
        <v>430293.73</v>
      </c>
      <c r="W75" s="4" t="n">
        <v>293046.6</v>
      </c>
      <c r="X75" s="0" t="n">
        <v>2.03</v>
      </c>
      <c r="Y75" s="5" t="n">
        <f aca="false">V75-L75</f>
        <v>-245112.08</v>
      </c>
      <c r="Z75" s="6" t="n">
        <f aca="false">Y75/L75</f>
        <v>-0.362910825419166</v>
      </c>
      <c r="AA75" s="3" t="n">
        <f aca="false">X75-P75</f>
        <v>-1.4</v>
      </c>
      <c r="AB75" s="6" t="n">
        <f aca="false">AA75/P75</f>
        <v>-0.408163265306123</v>
      </c>
    </row>
    <row r="76" customFormat="false" ht="12.75" hidden="false" customHeight="false" outlineLevel="0" collapsed="false">
      <c r="A76" s="0" t="s">
        <v>117</v>
      </c>
      <c r="B76" s="0" t="n">
        <v>4</v>
      </c>
      <c r="C76" s="0" t="s">
        <v>31</v>
      </c>
      <c r="D76" s="0" t="s">
        <v>31</v>
      </c>
      <c r="E76" s="0" t="n">
        <v>2333</v>
      </c>
      <c r="F76" s="0" t="n">
        <v>1725</v>
      </c>
      <c r="G76" s="0" t="n">
        <v>10</v>
      </c>
      <c r="H76" s="0" t="n">
        <v>3</v>
      </c>
      <c r="I76" s="0" t="n">
        <v>3</v>
      </c>
      <c r="J76" s="0" t="n">
        <v>4</v>
      </c>
      <c r="K76" s="0" t="n">
        <v>0.7</v>
      </c>
      <c r="L76" s="1" t="n">
        <v>586822.63</v>
      </c>
      <c r="M76" s="0" t="n">
        <v>585165.48</v>
      </c>
      <c r="N76" s="0" t="n">
        <v>1657.15</v>
      </c>
      <c r="O76" s="0" t="n">
        <v>270957.15</v>
      </c>
      <c r="P76" s="1" t="n">
        <v>2.5</v>
      </c>
      <c r="Q76" s="0" t="n">
        <v>0</v>
      </c>
      <c r="R76" s="0" t="n">
        <v>2</v>
      </c>
      <c r="S76" s="0" t="s">
        <v>32</v>
      </c>
      <c r="T76" s="0" t="str">
        <f aca="false">IF(L76="inf","False","True")</f>
        <v>True</v>
      </c>
      <c r="U76" s="0" t="str">
        <f aca="false">IF(V76="inf","False","True")</f>
        <v>True</v>
      </c>
      <c r="V76" s="4" t="n">
        <v>437759.45</v>
      </c>
      <c r="W76" s="4" t="n">
        <v>277767.54</v>
      </c>
      <c r="X76" s="0" t="n">
        <v>1.69</v>
      </c>
      <c r="Y76" s="5" t="n">
        <f aca="false">V76-L76</f>
        <v>-149063.18</v>
      </c>
      <c r="Z76" s="6" t="n">
        <f aca="false">Y76/L76</f>
        <v>-0.254017436239635</v>
      </c>
      <c r="AA76" s="3" t="n">
        <f aca="false">X76-P76</f>
        <v>-0.81</v>
      </c>
      <c r="AB76" s="6" t="n">
        <f aca="false">AA76/P76</f>
        <v>-0.324</v>
      </c>
    </row>
    <row r="77" customFormat="false" ht="12.75" hidden="false" customHeight="false" outlineLevel="0" collapsed="false">
      <c r="A77" s="0" t="s">
        <v>118</v>
      </c>
      <c r="B77" s="0" t="n">
        <v>0</v>
      </c>
      <c r="C77" s="0" t="s">
        <v>31</v>
      </c>
      <c r="D77" s="0" t="s">
        <v>31</v>
      </c>
      <c r="E77" s="0" t="n">
        <v>3333</v>
      </c>
      <c r="F77" s="0" t="n">
        <v>2011</v>
      </c>
      <c r="G77" s="0" t="n">
        <v>10</v>
      </c>
      <c r="H77" s="0" t="n">
        <v>3</v>
      </c>
      <c r="I77" s="0" t="n">
        <v>3</v>
      </c>
      <c r="J77" s="0" t="n">
        <v>4</v>
      </c>
      <c r="K77" s="0" t="n">
        <v>0.7</v>
      </c>
      <c r="L77" s="1" t="n">
        <v>457189.98</v>
      </c>
      <c r="M77" s="0" t="n">
        <v>455231</v>
      </c>
      <c r="N77" s="0" t="n">
        <v>1958.98</v>
      </c>
      <c r="O77" s="0" t="n">
        <v>377191</v>
      </c>
      <c r="P77" s="1" t="n">
        <v>2.8</v>
      </c>
      <c r="Q77" s="0" t="n">
        <v>0</v>
      </c>
      <c r="R77" s="0" t="n">
        <v>3</v>
      </c>
      <c r="S77" s="0" t="s">
        <v>32</v>
      </c>
      <c r="T77" s="0" t="str">
        <f aca="false">IF(L77="inf","False","True")</f>
        <v>True</v>
      </c>
      <c r="U77" s="0" t="str">
        <f aca="false">IF(V77="inf","False","True")</f>
        <v>False</v>
      </c>
      <c r="V77" s="4" t="s">
        <v>37</v>
      </c>
      <c r="W77" s="4" t="s">
        <v>37</v>
      </c>
      <c r="X77" s="0" t="n">
        <v>5.08</v>
      </c>
      <c r="Y77" s="5" t="e">
        <f aca="false">V77-L77</f>
        <v>#VALUE!</v>
      </c>
      <c r="Z77" s="6" t="e">
        <f aca="false">Y77/L77</f>
        <v>#VALUE!</v>
      </c>
      <c r="AA77" s="3" t="n">
        <f aca="false">X77-P77</f>
        <v>2.28</v>
      </c>
      <c r="AB77" s="6" t="n">
        <f aca="false">AA77/P77</f>
        <v>0.814285714285714</v>
      </c>
    </row>
    <row r="78" customFormat="false" ht="12.75" hidden="false" customHeight="false" outlineLevel="0" collapsed="false">
      <c r="A78" s="0" t="s">
        <v>119</v>
      </c>
      <c r="B78" s="0" t="n">
        <v>1</v>
      </c>
      <c r="C78" s="0" t="s">
        <v>31</v>
      </c>
      <c r="D78" s="0" t="s">
        <v>31</v>
      </c>
      <c r="E78" s="0" t="n">
        <v>3333</v>
      </c>
      <c r="F78" s="0" t="n">
        <v>2226</v>
      </c>
      <c r="G78" s="0" t="n">
        <v>10</v>
      </c>
      <c r="H78" s="0" t="n">
        <v>3</v>
      </c>
      <c r="I78" s="0" t="n">
        <v>3</v>
      </c>
      <c r="J78" s="0" t="n">
        <v>4</v>
      </c>
      <c r="K78" s="0" t="n">
        <v>0.7</v>
      </c>
      <c r="L78" s="1" t="n">
        <v>1088772.96</v>
      </c>
      <c r="M78" s="0" t="n">
        <v>1086592.76</v>
      </c>
      <c r="N78" s="0" t="n">
        <v>2180.2</v>
      </c>
      <c r="O78" s="0" t="n">
        <v>383320.25</v>
      </c>
      <c r="P78" s="1" t="n">
        <v>8.57</v>
      </c>
      <c r="Q78" s="0" t="n">
        <v>0</v>
      </c>
      <c r="R78" s="0" t="n">
        <v>26</v>
      </c>
      <c r="S78" s="0" t="s">
        <v>32</v>
      </c>
      <c r="T78" s="0" t="str">
        <f aca="false">IF(L78="inf","False","True")</f>
        <v>True</v>
      </c>
      <c r="U78" s="0" t="str">
        <f aca="false">IF(V78="inf","False","True")</f>
        <v>True</v>
      </c>
      <c r="V78" s="4" t="n">
        <v>153157.5</v>
      </c>
      <c r="W78" s="4" t="n">
        <v>424804.37</v>
      </c>
      <c r="X78" s="0" t="n">
        <v>4.75</v>
      </c>
      <c r="Y78" s="5" t="n">
        <f aca="false">V78-L78</f>
        <v>-935615.46</v>
      </c>
      <c r="Z78" s="6" t="n">
        <f aca="false">Y78/L78</f>
        <v>-0.859330176605415</v>
      </c>
      <c r="AA78" s="3" t="n">
        <f aca="false">X78-P78</f>
        <v>-3.82</v>
      </c>
      <c r="AB78" s="6" t="n">
        <f aca="false">AA78/P78</f>
        <v>-0.445740956826138</v>
      </c>
    </row>
    <row r="79" customFormat="false" ht="12.75" hidden="false" customHeight="false" outlineLevel="0" collapsed="false">
      <c r="A79" s="0" t="s">
        <v>120</v>
      </c>
      <c r="B79" s="0" t="n">
        <v>2</v>
      </c>
      <c r="C79" s="0" t="s">
        <v>31</v>
      </c>
      <c r="D79" s="0" t="s">
        <v>31</v>
      </c>
      <c r="E79" s="0" t="n">
        <v>3333</v>
      </c>
      <c r="F79" s="0" t="n">
        <v>2368</v>
      </c>
      <c r="G79" s="0" t="n">
        <v>10</v>
      </c>
      <c r="H79" s="0" t="n">
        <v>3</v>
      </c>
      <c r="I79" s="0" t="n">
        <v>3</v>
      </c>
      <c r="J79" s="0" t="n">
        <v>4</v>
      </c>
      <c r="K79" s="0" t="n">
        <v>0.7</v>
      </c>
      <c r="L79" s="1" t="n">
        <v>804381.47</v>
      </c>
      <c r="M79" s="0" t="n">
        <v>802013.47</v>
      </c>
      <c r="N79" s="0" t="n">
        <v>2368</v>
      </c>
      <c r="O79" s="0" t="n">
        <v>355489.99</v>
      </c>
      <c r="P79" s="1" t="n">
        <v>4.66</v>
      </c>
      <c r="Q79" s="0" t="n">
        <v>0</v>
      </c>
      <c r="R79" s="0" t="n">
        <v>2</v>
      </c>
      <c r="S79" s="0" t="s">
        <v>32</v>
      </c>
      <c r="T79" s="0" t="str">
        <f aca="false">IF(L79="inf","False","True")</f>
        <v>True</v>
      </c>
      <c r="U79" s="0" t="str">
        <f aca="false">IF(V79="inf","False","True")</f>
        <v>True</v>
      </c>
      <c r="V79" s="4" t="n">
        <v>785492.48</v>
      </c>
      <c r="W79" s="4" t="n">
        <v>361958.45</v>
      </c>
      <c r="X79" s="0" t="n">
        <v>0.19</v>
      </c>
      <c r="Y79" s="5" t="n">
        <f aca="false">V79-L79</f>
        <v>-18888.99</v>
      </c>
      <c r="Z79" s="6" t="n">
        <f aca="false">Y79/L79</f>
        <v>-0.023482626968023</v>
      </c>
      <c r="AA79" s="3" t="n">
        <f aca="false">X79-P79</f>
        <v>-4.47</v>
      </c>
      <c r="AB79" s="6" t="n">
        <f aca="false">AA79/P79</f>
        <v>-0.959227467811159</v>
      </c>
    </row>
    <row r="80" customFormat="false" ht="12.75" hidden="false" customHeight="false" outlineLevel="0" collapsed="false">
      <c r="A80" s="0" t="s">
        <v>121</v>
      </c>
      <c r="B80" s="0" t="n">
        <v>3</v>
      </c>
      <c r="C80" s="0" t="s">
        <v>31</v>
      </c>
      <c r="D80" s="0" t="s">
        <v>31</v>
      </c>
      <c r="E80" s="0" t="n">
        <v>3333</v>
      </c>
      <c r="F80" s="0" t="n">
        <v>2162</v>
      </c>
      <c r="G80" s="0" t="n">
        <v>10</v>
      </c>
      <c r="H80" s="0" t="n">
        <v>3</v>
      </c>
      <c r="I80" s="0" t="n">
        <v>3</v>
      </c>
      <c r="J80" s="0" t="n">
        <v>4</v>
      </c>
      <c r="K80" s="0" t="n">
        <v>0.7</v>
      </c>
      <c r="L80" s="1" t="n">
        <v>1079542.3</v>
      </c>
      <c r="M80" s="0" t="n">
        <v>1077399.5</v>
      </c>
      <c r="N80" s="0" t="n">
        <v>2142.8</v>
      </c>
      <c r="O80" s="0" t="n">
        <v>402787.31</v>
      </c>
      <c r="P80" s="1" t="n">
        <v>3.38</v>
      </c>
      <c r="Q80" s="0" t="n">
        <v>0</v>
      </c>
      <c r="R80" s="0" t="n">
        <v>5</v>
      </c>
      <c r="S80" s="0" t="s">
        <v>32</v>
      </c>
      <c r="T80" s="0" t="str">
        <f aca="false">IF(L80="inf","False","True")</f>
        <v>True</v>
      </c>
      <c r="U80" s="0" t="str">
        <f aca="false">IF(V80="inf","False","True")</f>
        <v>False</v>
      </c>
      <c r="V80" s="4" t="s">
        <v>37</v>
      </c>
      <c r="W80" s="4" t="s">
        <v>37</v>
      </c>
      <c r="X80" s="0" t="n">
        <v>4.93</v>
      </c>
      <c r="Y80" s="5" t="e">
        <f aca="false">V80-L80</f>
        <v>#VALUE!</v>
      </c>
      <c r="Z80" s="6" t="e">
        <f aca="false">Y80/L80</f>
        <v>#VALUE!</v>
      </c>
      <c r="AA80" s="3" t="n">
        <f aca="false">X80-P80</f>
        <v>1.55</v>
      </c>
      <c r="AB80" s="6" t="n">
        <f aca="false">AA80/P80</f>
        <v>0.458579881656805</v>
      </c>
    </row>
    <row r="81" customFormat="false" ht="12.75" hidden="false" customHeight="false" outlineLevel="0" collapsed="false">
      <c r="A81" s="0" t="s">
        <v>122</v>
      </c>
      <c r="B81" s="0" t="n">
        <v>4</v>
      </c>
      <c r="C81" s="0" t="s">
        <v>31</v>
      </c>
      <c r="D81" s="0" t="s">
        <v>31</v>
      </c>
      <c r="E81" s="0" t="n">
        <v>3333</v>
      </c>
      <c r="F81" s="0" t="n">
        <v>2467</v>
      </c>
      <c r="G81" s="0" t="n">
        <v>10</v>
      </c>
      <c r="H81" s="0" t="n">
        <v>3</v>
      </c>
      <c r="I81" s="0" t="n">
        <v>3</v>
      </c>
      <c r="J81" s="0" t="n">
        <v>4</v>
      </c>
      <c r="K81" s="0" t="n">
        <v>0.7</v>
      </c>
      <c r="L81" s="1" t="n">
        <v>800975.99</v>
      </c>
      <c r="M81" s="0" t="n">
        <v>798554.89</v>
      </c>
      <c r="N81" s="0" t="n">
        <v>2421.1</v>
      </c>
      <c r="O81" s="0" t="n">
        <v>387112.94</v>
      </c>
      <c r="P81" s="1" t="n">
        <v>2.53</v>
      </c>
      <c r="Q81" s="0" t="n">
        <v>0</v>
      </c>
      <c r="R81" s="0" t="n">
        <v>7</v>
      </c>
      <c r="S81" s="0" t="s">
        <v>32</v>
      </c>
      <c r="T81" s="0" t="str">
        <f aca="false">IF(L81="inf","False","True")</f>
        <v>True</v>
      </c>
      <c r="U81" s="0" t="str">
        <f aca="false">IF(V81="inf","False","True")</f>
        <v>False</v>
      </c>
      <c r="V81" s="4" t="s">
        <v>37</v>
      </c>
      <c r="W81" s="4" t="s">
        <v>37</v>
      </c>
      <c r="X81" s="0" t="n">
        <v>4.89</v>
      </c>
      <c r="Y81" s="5" t="e">
        <f aca="false">V81-L81</f>
        <v>#VALUE!</v>
      </c>
      <c r="Z81" s="6" t="e">
        <f aca="false">Y81/L81</f>
        <v>#VALUE!</v>
      </c>
      <c r="AA81" s="3" t="n">
        <f aca="false">X81-P81</f>
        <v>2.36</v>
      </c>
      <c r="AB81" s="6" t="n">
        <f aca="false">AA81/P81</f>
        <v>0.932806324110672</v>
      </c>
    </row>
    <row r="82" customFormat="false" ht="12.75" hidden="false" customHeight="false" outlineLevel="0" collapsed="false">
      <c r="A82" s="0" t="s">
        <v>123</v>
      </c>
      <c r="B82" s="0" t="n">
        <v>0</v>
      </c>
      <c r="C82" s="0" t="s">
        <v>31</v>
      </c>
      <c r="D82" s="0" t="s">
        <v>31</v>
      </c>
      <c r="E82" s="0" t="n">
        <v>1000</v>
      </c>
      <c r="F82" s="0" t="n">
        <v>722</v>
      </c>
      <c r="G82" s="0" t="n">
        <v>10</v>
      </c>
      <c r="H82" s="0" t="n">
        <v>3</v>
      </c>
      <c r="I82" s="0" t="n">
        <v>3</v>
      </c>
      <c r="J82" s="0" t="n">
        <v>8</v>
      </c>
      <c r="K82" s="0" t="n">
        <v>0.7</v>
      </c>
      <c r="L82" s="1" t="n">
        <v>722</v>
      </c>
      <c r="M82" s="0" t="n">
        <v>0</v>
      </c>
      <c r="N82" s="0" t="n">
        <v>722</v>
      </c>
      <c r="O82" s="0" t="n">
        <v>117852</v>
      </c>
      <c r="P82" s="1" t="n">
        <v>3.17</v>
      </c>
      <c r="Q82" s="0" t="n">
        <v>0</v>
      </c>
      <c r="R82" s="0" t="n">
        <v>1</v>
      </c>
      <c r="S82" s="0" t="s">
        <v>42</v>
      </c>
      <c r="T82" s="0" t="str">
        <f aca="false">IF(L82="inf","False","True")</f>
        <v>True</v>
      </c>
      <c r="U82" s="0" t="str">
        <f aca="false">IF(V82="inf","False","True")</f>
        <v>False</v>
      </c>
      <c r="V82" s="4" t="s">
        <v>37</v>
      </c>
      <c r="W82" s="4" t="s">
        <v>37</v>
      </c>
      <c r="X82" s="0" t="n">
        <v>9.83</v>
      </c>
      <c r="Y82" s="5" t="e">
        <f aca="false">V82-L82</f>
        <v>#VALUE!</v>
      </c>
      <c r="Z82" s="6" t="e">
        <f aca="false">Y82/L82</f>
        <v>#VALUE!</v>
      </c>
      <c r="AA82" s="3" t="n">
        <f aca="false">X82-P82</f>
        <v>6.66</v>
      </c>
      <c r="AB82" s="6" t="n">
        <f aca="false">AA82/P82</f>
        <v>2.10094637223975</v>
      </c>
    </row>
    <row r="83" customFormat="false" ht="12.75" hidden="false" customHeight="false" outlineLevel="0" collapsed="false">
      <c r="A83" s="0" t="s">
        <v>124</v>
      </c>
      <c r="B83" s="0" t="n">
        <v>1</v>
      </c>
      <c r="C83" s="0" t="s">
        <v>31</v>
      </c>
      <c r="D83" s="0" t="s">
        <v>31</v>
      </c>
      <c r="E83" s="0" t="n">
        <v>1000</v>
      </c>
      <c r="F83" s="0" t="n">
        <v>763</v>
      </c>
      <c r="G83" s="0" t="n">
        <v>10</v>
      </c>
      <c r="H83" s="0" t="n">
        <v>3</v>
      </c>
      <c r="I83" s="0" t="n">
        <v>3</v>
      </c>
      <c r="J83" s="0" t="n">
        <v>8</v>
      </c>
      <c r="K83" s="0" t="n">
        <v>0.7</v>
      </c>
      <c r="L83" s="1" t="n">
        <v>763</v>
      </c>
      <c r="M83" s="0" t="n">
        <v>0</v>
      </c>
      <c r="N83" s="0" t="n">
        <v>763</v>
      </c>
      <c r="O83" s="0" t="n">
        <v>116315</v>
      </c>
      <c r="P83" s="1" t="n">
        <v>3.21</v>
      </c>
      <c r="Q83" s="0" t="n">
        <v>0</v>
      </c>
      <c r="R83" s="0" t="n">
        <v>1</v>
      </c>
      <c r="S83" s="0" t="s">
        <v>42</v>
      </c>
      <c r="T83" s="0" t="str">
        <f aca="false">IF(L83="inf","False","True")</f>
        <v>True</v>
      </c>
      <c r="U83" s="0" t="str">
        <f aca="false">IF(V83="inf","False","True")</f>
        <v>True</v>
      </c>
      <c r="V83" s="4" t="n">
        <v>23855.01</v>
      </c>
      <c r="W83" s="4" t="n">
        <v>116315</v>
      </c>
      <c r="X83" s="0" t="n">
        <v>3.79</v>
      </c>
      <c r="Y83" s="5" t="n">
        <f aca="false">V83-L83</f>
        <v>23092.01</v>
      </c>
      <c r="Z83" s="6" t="n">
        <f aca="false">Y83/L83</f>
        <v>30.2647575360419</v>
      </c>
      <c r="AA83" s="3" t="n">
        <f aca="false">X83-P83</f>
        <v>0.58</v>
      </c>
      <c r="AB83" s="6" t="n">
        <f aca="false">AA83/P83</f>
        <v>0.180685358255452</v>
      </c>
    </row>
    <row r="84" customFormat="false" ht="12.75" hidden="false" customHeight="false" outlineLevel="0" collapsed="false">
      <c r="A84" s="0" t="s">
        <v>125</v>
      </c>
      <c r="B84" s="0" t="n">
        <v>2</v>
      </c>
      <c r="C84" s="0" t="s">
        <v>31</v>
      </c>
      <c r="D84" s="0" t="s">
        <v>31</v>
      </c>
      <c r="E84" s="0" t="n">
        <v>1000</v>
      </c>
      <c r="F84" s="0" t="n">
        <v>761</v>
      </c>
      <c r="G84" s="0" t="n">
        <v>10</v>
      </c>
      <c r="H84" s="0" t="n">
        <v>3</v>
      </c>
      <c r="I84" s="0" t="n">
        <v>3</v>
      </c>
      <c r="J84" s="0" t="n">
        <v>8</v>
      </c>
      <c r="K84" s="0" t="n">
        <v>0.7</v>
      </c>
      <c r="L84" s="1" t="n">
        <v>761</v>
      </c>
      <c r="M84" s="0" t="n">
        <v>0</v>
      </c>
      <c r="N84" s="0" t="n">
        <v>761</v>
      </c>
      <c r="O84" s="0" t="n">
        <v>124225</v>
      </c>
      <c r="P84" s="1" t="n">
        <v>3.19</v>
      </c>
      <c r="Q84" s="0" t="n">
        <v>0</v>
      </c>
      <c r="R84" s="0" t="n">
        <v>1</v>
      </c>
      <c r="S84" s="0" t="s">
        <v>42</v>
      </c>
      <c r="T84" s="0" t="str">
        <f aca="false">IF(L84="inf","False","True")</f>
        <v>True</v>
      </c>
      <c r="U84" s="0" t="str">
        <f aca="false">IF(V84="inf","False","True")</f>
        <v>True</v>
      </c>
      <c r="V84" s="4" t="n">
        <v>331589.19</v>
      </c>
      <c r="W84" s="4" t="n">
        <v>114166.4</v>
      </c>
      <c r="X84" s="0" t="n">
        <v>2.33</v>
      </c>
      <c r="Y84" s="5" t="n">
        <f aca="false">V84-L84</f>
        <v>330828.19</v>
      </c>
      <c r="Z84" s="6" t="n">
        <f aca="false">Y84/L84</f>
        <v>434.728239159001</v>
      </c>
      <c r="AA84" s="3" t="n">
        <f aca="false">X84-P84</f>
        <v>-0.86</v>
      </c>
      <c r="AB84" s="6" t="n">
        <f aca="false">AA84/P84</f>
        <v>-0.269592476489028</v>
      </c>
    </row>
    <row r="85" customFormat="false" ht="12.75" hidden="false" customHeight="false" outlineLevel="0" collapsed="false">
      <c r="A85" s="0" t="s">
        <v>126</v>
      </c>
      <c r="B85" s="0" t="n">
        <v>3</v>
      </c>
      <c r="C85" s="0" t="s">
        <v>31</v>
      </c>
      <c r="D85" s="0" t="s">
        <v>31</v>
      </c>
      <c r="E85" s="0" t="n">
        <v>1000</v>
      </c>
      <c r="F85" s="0" t="n">
        <v>734</v>
      </c>
      <c r="G85" s="0" t="n">
        <v>10</v>
      </c>
      <c r="H85" s="0" t="n">
        <v>3</v>
      </c>
      <c r="I85" s="0" t="n">
        <v>3</v>
      </c>
      <c r="J85" s="0" t="n">
        <v>8</v>
      </c>
      <c r="K85" s="0" t="n">
        <v>0.7</v>
      </c>
      <c r="L85" s="1" t="n">
        <v>734</v>
      </c>
      <c r="M85" s="0" t="n">
        <v>0</v>
      </c>
      <c r="N85" s="0" t="n">
        <v>734</v>
      </c>
      <c r="O85" s="0" t="n">
        <v>108657</v>
      </c>
      <c r="P85" s="1" t="n">
        <v>3.03</v>
      </c>
      <c r="Q85" s="0" t="n">
        <v>0</v>
      </c>
      <c r="R85" s="0" t="n">
        <v>1</v>
      </c>
      <c r="S85" s="0" t="s">
        <v>42</v>
      </c>
      <c r="T85" s="0" t="str">
        <f aca="false">IF(L85="inf","False","True")</f>
        <v>True</v>
      </c>
      <c r="U85" s="0" t="str">
        <f aca="false">IF(V85="inf","False","True")</f>
        <v>True</v>
      </c>
      <c r="V85" s="4" t="n">
        <v>547</v>
      </c>
      <c r="W85" s="4" t="n">
        <v>108657</v>
      </c>
      <c r="X85" s="0" t="n">
        <v>2.45</v>
      </c>
      <c r="Y85" s="5" t="n">
        <f aca="false">V85-L85</f>
        <v>-187</v>
      </c>
      <c r="Z85" s="6" t="n">
        <f aca="false">Y85/L85</f>
        <v>-0.254768392370572</v>
      </c>
      <c r="AA85" s="3" t="n">
        <f aca="false">X85-P85</f>
        <v>-0.58</v>
      </c>
      <c r="AB85" s="6" t="n">
        <f aca="false">AA85/P85</f>
        <v>-0.191419141914191</v>
      </c>
    </row>
    <row r="86" customFormat="false" ht="12.75" hidden="false" customHeight="false" outlineLevel="0" collapsed="false">
      <c r="A86" s="0" t="s">
        <v>127</v>
      </c>
      <c r="B86" s="0" t="n">
        <v>4</v>
      </c>
      <c r="C86" s="0" t="s">
        <v>31</v>
      </c>
      <c r="D86" s="0" t="s">
        <v>31</v>
      </c>
      <c r="E86" s="0" t="n">
        <v>1000</v>
      </c>
      <c r="F86" s="0" t="n">
        <v>789</v>
      </c>
      <c r="G86" s="0" t="n">
        <v>10</v>
      </c>
      <c r="H86" s="0" t="n">
        <v>3</v>
      </c>
      <c r="I86" s="0" t="n">
        <v>3</v>
      </c>
      <c r="J86" s="0" t="n">
        <v>8</v>
      </c>
      <c r="K86" s="0" t="n">
        <v>0.7</v>
      </c>
      <c r="L86" s="1" t="n">
        <v>789</v>
      </c>
      <c r="M86" s="0" t="n">
        <v>0</v>
      </c>
      <c r="N86" s="0" t="n">
        <v>789</v>
      </c>
      <c r="O86" s="0" t="n">
        <v>114863</v>
      </c>
      <c r="P86" s="1" t="n">
        <v>2.68</v>
      </c>
      <c r="Q86" s="0" t="n">
        <v>0</v>
      </c>
      <c r="R86" s="0" t="n">
        <v>1</v>
      </c>
      <c r="S86" s="0" t="s">
        <v>42</v>
      </c>
      <c r="T86" s="0" t="str">
        <f aca="false">IF(L86="inf","False","True")</f>
        <v>True</v>
      </c>
      <c r="U86" s="0" t="str">
        <f aca="false">IF(V86="inf","False","True")</f>
        <v>True</v>
      </c>
      <c r="V86" s="4" t="n">
        <v>74019.75</v>
      </c>
      <c r="W86" s="4" t="n">
        <v>110173.03</v>
      </c>
      <c r="X86" s="0" t="n">
        <v>2.34</v>
      </c>
      <c r="Y86" s="5" t="n">
        <f aca="false">V86-L86</f>
        <v>73230.75</v>
      </c>
      <c r="Z86" s="6" t="n">
        <f aca="false">Y86/L86</f>
        <v>92.81463878327</v>
      </c>
      <c r="AA86" s="3" t="n">
        <f aca="false">X86-P86</f>
        <v>-0.34</v>
      </c>
      <c r="AB86" s="6" t="n">
        <f aca="false">AA86/P86</f>
        <v>-0.126865671641791</v>
      </c>
    </row>
    <row r="87" customFormat="false" ht="12.75" hidden="false" customHeight="false" outlineLevel="0" collapsed="false">
      <c r="A87" s="0" t="s">
        <v>128</v>
      </c>
      <c r="B87" s="0" t="n">
        <v>0</v>
      </c>
      <c r="C87" s="0" t="s">
        <v>31</v>
      </c>
      <c r="D87" s="0" t="s">
        <v>31</v>
      </c>
      <c r="E87" s="0" t="n">
        <v>1666</v>
      </c>
      <c r="F87" s="0" t="n">
        <v>1204</v>
      </c>
      <c r="G87" s="0" t="n">
        <v>10</v>
      </c>
      <c r="H87" s="0" t="n">
        <v>3</v>
      </c>
      <c r="I87" s="0" t="n">
        <v>3</v>
      </c>
      <c r="J87" s="0" t="n">
        <v>8</v>
      </c>
      <c r="K87" s="0" t="n">
        <v>0.7</v>
      </c>
      <c r="L87" s="1" t="n">
        <v>1204</v>
      </c>
      <c r="M87" s="0" t="n">
        <v>0</v>
      </c>
      <c r="N87" s="0" t="n">
        <v>1204</v>
      </c>
      <c r="O87" s="0" t="n">
        <v>196408</v>
      </c>
      <c r="P87" s="1" t="n">
        <v>2.75</v>
      </c>
      <c r="Q87" s="0" t="n">
        <v>0</v>
      </c>
      <c r="R87" s="0" t="n">
        <v>1</v>
      </c>
      <c r="S87" s="0" t="s">
        <v>42</v>
      </c>
      <c r="T87" s="0" t="str">
        <f aca="false">IF(L87="inf","False","True")</f>
        <v>True</v>
      </c>
      <c r="U87" s="0" t="str">
        <f aca="false">IF(V87="inf","False","True")</f>
        <v>True</v>
      </c>
      <c r="V87" s="4" t="n">
        <v>214394.34</v>
      </c>
      <c r="W87" s="4" t="n">
        <v>194109.92</v>
      </c>
      <c r="X87" s="0" t="n">
        <v>11.2</v>
      </c>
      <c r="Y87" s="5" t="n">
        <f aca="false">V87-L87</f>
        <v>213190.34</v>
      </c>
      <c r="Z87" s="6" t="n">
        <f aca="false">Y87/L87</f>
        <v>177.068388704319</v>
      </c>
      <c r="AA87" s="3" t="n">
        <f aca="false">X87-P87</f>
        <v>8.45</v>
      </c>
      <c r="AB87" s="6" t="n">
        <f aca="false">AA87/P87</f>
        <v>3.07272727272727</v>
      </c>
    </row>
    <row r="88" customFormat="false" ht="12.75" hidden="false" customHeight="false" outlineLevel="0" collapsed="false">
      <c r="A88" s="0" t="s">
        <v>129</v>
      </c>
      <c r="B88" s="0" t="n">
        <v>1</v>
      </c>
      <c r="C88" s="0" t="s">
        <v>31</v>
      </c>
      <c r="D88" s="0" t="s">
        <v>31</v>
      </c>
      <c r="E88" s="0" t="n">
        <v>1666</v>
      </c>
      <c r="F88" s="0" t="n">
        <v>1272</v>
      </c>
      <c r="G88" s="0" t="n">
        <v>10</v>
      </c>
      <c r="H88" s="0" t="n">
        <v>3</v>
      </c>
      <c r="I88" s="0" t="n">
        <v>3</v>
      </c>
      <c r="J88" s="0" t="n">
        <v>8</v>
      </c>
      <c r="K88" s="0" t="n">
        <v>0.7</v>
      </c>
      <c r="L88" s="1" t="n">
        <v>1272</v>
      </c>
      <c r="M88" s="0" t="n">
        <v>0</v>
      </c>
      <c r="N88" s="0" t="n">
        <v>1272</v>
      </c>
      <c r="O88" s="0" t="n">
        <v>193910</v>
      </c>
      <c r="P88" s="1" t="n">
        <v>2.72</v>
      </c>
      <c r="Q88" s="0" t="n">
        <v>0</v>
      </c>
      <c r="R88" s="0" t="n">
        <v>1</v>
      </c>
      <c r="S88" s="0" t="s">
        <v>42</v>
      </c>
      <c r="T88" s="0" t="str">
        <f aca="false">IF(L88="inf","False","True")</f>
        <v>True</v>
      </c>
      <c r="U88" s="0" t="str">
        <f aca="false">IF(V88="inf","False","True")</f>
        <v>True</v>
      </c>
      <c r="V88" s="4" t="n">
        <v>254350.79</v>
      </c>
      <c r="W88" s="4" t="n">
        <v>187523.96</v>
      </c>
      <c r="X88" s="0" t="n">
        <v>5.16</v>
      </c>
      <c r="Y88" s="5" t="n">
        <f aca="false">V88-L88</f>
        <v>253078.79</v>
      </c>
      <c r="Z88" s="6" t="n">
        <f aca="false">Y88/L88</f>
        <v>198.961312893082</v>
      </c>
      <c r="AA88" s="3" t="n">
        <f aca="false">X88-P88</f>
        <v>2.44</v>
      </c>
      <c r="AB88" s="6" t="n">
        <f aca="false">AA88/P88</f>
        <v>0.897058823529412</v>
      </c>
    </row>
    <row r="89" customFormat="false" ht="12.75" hidden="false" customHeight="false" outlineLevel="0" collapsed="false">
      <c r="A89" s="0" t="s">
        <v>130</v>
      </c>
      <c r="B89" s="0" t="n">
        <v>2</v>
      </c>
      <c r="C89" s="0" t="s">
        <v>31</v>
      </c>
      <c r="D89" s="0" t="s">
        <v>31</v>
      </c>
      <c r="E89" s="0" t="n">
        <v>1666</v>
      </c>
      <c r="F89" s="0" t="n">
        <v>1269</v>
      </c>
      <c r="G89" s="0" t="n">
        <v>10</v>
      </c>
      <c r="H89" s="0" t="n">
        <v>3</v>
      </c>
      <c r="I89" s="0" t="n">
        <v>3</v>
      </c>
      <c r="J89" s="0" t="n">
        <v>8</v>
      </c>
      <c r="K89" s="0" t="n">
        <v>0.7</v>
      </c>
      <c r="L89" s="1" t="n">
        <v>1269</v>
      </c>
      <c r="M89" s="0" t="n">
        <v>0</v>
      </c>
      <c r="N89" s="0" t="n">
        <v>1269</v>
      </c>
      <c r="O89" s="0" t="n">
        <v>207011</v>
      </c>
      <c r="P89" s="1" t="n">
        <v>2.67</v>
      </c>
      <c r="Q89" s="0" t="n">
        <v>0</v>
      </c>
      <c r="R89" s="0" t="n">
        <v>1</v>
      </c>
      <c r="S89" s="0" t="s">
        <v>42</v>
      </c>
      <c r="T89" s="0" t="str">
        <f aca="false">IF(L89="inf","False","True")</f>
        <v>True</v>
      </c>
      <c r="U89" s="0" t="str">
        <f aca="false">IF(V89="inf","False","True")</f>
        <v>True</v>
      </c>
      <c r="V89" s="4" t="n">
        <v>53960.94</v>
      </c>
      <c r="W89" s="4" t="n">
        <v>205779.51</v>
      </c>
      <c r="X89" s="0" t="n">
        <v>1.58</v>
      </c>
      <c r="Y89" s="5" t="n">
        <f aca="false">V89-L89</f>
        <v>52691.94</v>
      </c>
      <c r="Z89" s="6" t="n">
        <f aca="false">Y89/L89</f>
        <v>41.5224113475177</v>
      </c>
      <c r="AA89" s="3" t="n">
        <f aca="false">X89-P89</f>
        <v>-1.09</v>
      </c>
      <c r="AB89" s="6" t="n">
        <f aca="false">AA89/P89</f>
        <v>-0.408239700374532</v>
      </c>
    </row>
    <row r="90" customFormat="false" ht="12.75" hidden="false" customHeight="false" outlineLevel="0" collapsed="false">
      <c r="A90" s="0" t="s">
        <v>131</v>
      </c>
      <c r="B90" s="0" t="n">
        <v>3</v>
      </c>
      <c r="C90" s="0" t="s">
        <v>31</v>
      </c>
      <c r="D90" s="0" t="s">
        <v>31</v>
      </c>
      <c r="E90" s="0" t="n">
        <v>1666</v>
      </c>
      <c r="F90" s="0" t="n">
        <v>1224</v>
      </c>
      <c r="G90" s="0" t="n">
        <v>10</v>
      </c>
      <c r="H90" s="0" t="n">
        <v>3</v>
      </c>
      <c r="I90" s="0" t="n">
        <v>3</v>
      </c>
      <c r="J90" s="0" t="n">
        <v>8</v>
      </c>
      <c r="K90" s="0" t="n">
        <v>0.7</v>
      </c>
      <c r="L90" s="1" t="n">
        <v>1224</v>
      </c>
      <c r="M90" s="0" t="n">
        <v>0</v>
      </c>
      <c r="N90" s="0" t="n">
        <v>1224</v>
      </c>
      <c r="O90" s="0" t="n">
        <v>181120</v>
      </c>
      <c r="P90" s="1" t="n">
        <v>2.66</v>
      </c>
      <c r="Q90" s="0" t="n">
        <v>0</v>
      </c>
      <c r="R90" s="0" t="n">
        <v>1</v>
      </c>
      <c r="S90" s="0" t="s">
        <v>42</v>
      </c>
      <c r="T90" s="0" t="str">
        <f aca="false">IF(L90="inf","False","True")</f>
        <v>True</v>
      </c>
      <c r="U90" s="0" t="str">
        <f aca="false">IF(V90="inf","False","True")</f>
        <v>True</v>
      </c>
      <c r="V90" s="4" t="n">
        <v>1017.27</v>
      </c>
      <c r="W90" s="4" t="n">
        <v>181120</v>
      </c>
      <c r="X90" s="0" t="n">
        <v>8.94</v>
      </c>
      <c r="Y90" s="5" t="n">
        <f aca="false">V90-L90</f>
        <v>-206.73</v>
      </c>
      <c r="Z90" s="6" t="n">
        <f aca="false">Y90/L90</f>
        <v>-0.168897058823529</v>
      </c>
      <c r="AA90" s="3" t="n">
        <f aca="false">X90-P90</f>
        <v>6.28</v>
      </c>
      <c r="AB90" s="6" t="n">
        <f aca="false">AA90/P90</f>
        <v>2.3609022556391</v>
      </c>
    </row>
    <row r="91" customFormat="false" ht="12.75" hidden="false" customHeight="false" outlineLevel="0" collapsed="false">
      <c r="A91" s="0" t="s">
        <v>132</v>
      </c>
      <c r="B91" s="0" t="n">
        <v>4</v>
      </c>
      <c r="C91" s="0" t="s">
        <v>31</v>
      </c>
      <c r="D91" s="0" t="s">
        <v>31</v>
      </c>
      <c r="E91" s="0" t="n">
        <v>1666</v>
      </c>
      <c r="F91" s="0" t="n">
        <v>1316</v>
      </c>
      <c r="G91" s="0" t="n">
        <v>10</v>
      </c>
      <c r="H91" s="0" t="n">
        <v>3</v>
      </c>
      <c r="I91" s="0" t="n">
        <v>3</v>
      </c>
      <c r="J91" s="0" t="n">
        <v>8</v>
      </c>
      <c r="K91" s="0" t="n">
        <v>0.7</v>
      </c>
      <c r="L91" s="1" t="n">
        <v>1316</v>
      </c>
      <c r="M91" s="0" t="n">
        <v>0</v>
      </c>
      <c r="N91" s="0" t="n">
        <v>1316</v>
      </c>
      <c r="O91" s="0" t="n">
        <v>191470</v>
      </c>
      <c r="P91" s="1" t="n">
        <v>2.66</v>
      </c>
      <c r="Q91" s="0" t="n">
        <v>0</v>
      </c>
      <c r="R91" s="0" t="n">
        <v>1</v>
      </c>
      <c r="S91" s="0" t="s">
        <v>42</v>
      </c>
      <c r="T91" s="0" t="str">
        <f aca="false">IF(L91="inf","False","True")</f>
        <v>True</v>
      </c>
      <c r="U91" s="0" t="str">
        <f aca="false">IF(V91="inf","False","True")</f>
        <v>True</v>
      </c>
      <c r="V91" s="4" t="n">
        <v>90452.03</v>
      </c>
      <c r="W91" s="4" t="n">
        <v>185007.74</v>
      </c>
      <c r="X91" s="0" t="n">
        <v>9.12</v>
      </c>
      <c r="Y91" s="5" t="n">
        <f aca="false">V91-L91</f>
        <v>89136.03</v>
      </c>
      <c r="Z91" s="6" t="n">
        <f aca="false">Y91/L91</f>
        <v>67.7325455927052</v>
      </c>
      <c r="AA91" s="3" t="n">
        <f aca="false">X91-P91</f>
        <v>6.46</v>
      </c>
      <c r="AB91" s="6" t="n">
        <f aca="false">AA91/P91</f>
        <v>2.42857142857143</v>
      </c>
    </row>
    <row r="92" customFormat="false" ht="12.75" hidden="false" customHeight="false" outlineLevel="0" collapsed="false">
      <c r="A92" s="0" t="s">
        <v>133</v>
      </c>
      <c r="B92" s="0" t="n">
        <v>0</v>
      </c>
      <c r="C92" s="0" t="s">
        <v>31</v>
      </c>
      <c r="D92" s="0" t="s">
        <v>31</v>
      </c>
      <c r="E92" s="0" t="n">
        <v>2333</v>
      </c>
      <c r="F92" s="0" t="n">
        <v>1686</v>
      </c>
      <c r="G92" s="0" t="n">
        <v>10</v>
      </c>
      <c r="H92" s="0" t="n">
        <v>3</v>
      </c>
      <c r="I92" s="0" t="n">
        <v>3</v>
      </c>
      <c r="J92" s="0" t="n">
        <v>8</v>
      </c>
      <c r="K92" s="0" t="n">
        <v>0.7</v>
      </c>
      <c r="L92" s="1" t="n">
        <v>1686</v>
      </c>
      <c r="M92" s="0" t="n">
        <v>0</v>
      </c>
      <c r="N92" s="0" t="n">
        <v>1686</v>
      </c>
      <c r="O92" s="0" t="n">
        <v>274983</v>
      </c>
      <c r="P92" s="1" t="n">
        <v>2.68</v>
      </c>
      <c r="Q92" s="0" t="n">
        <v>0</v>
      </c>
      <c r="R92" s="0" t="n">
        <v>1</v>
      </c>
      <c r="S92" s="0" t="s">
        <v>42</v>
      </c>
      <c r="T92" s="0" t="str">
        <f aca="false">IF(L92="inf","False","True")</f>
        <v>True</v>
      </c>
      <c r="U92" s="0" t="str">
        <f aca="false">IF(V92="inf","False","True")</f>
        <v>True</v>
      </c>
      <c r="V92" s="4" t="n">
        <v>105414.85</v>
      </c>
      <c r="W92" s="4" t="n">
        <v>273092.59</v>
      </c>
      <c r="X92" s="0" t="n">
        <v>10.88</v>
      </c>
      <c r="Y92" s="5" t="n">
        <f aca="false">V92-L92</f>
        <v>103728.85</v>
      </c>
      <c r="Z92" s="6" t="n">
        <f aca="false">Y92/L92</f>
        <v>61.5236358244365</v>
      </c>
      <c r="AA92" s="3" t="n">
        <f aca="false">X92-P92</f>
        <v>8.2</v>
      </c>
      <c r="AB92" s="6" t="n">
        <f aca="false">AA92/P92</f>
        <v>3.05970149253731</v>
      </c>
    </row>
    <row r="93" customFormat="false" ht="12.75" hidden="false" customHeight="false" outlineLevel="0" collapsed="false">
      <c r="A93" s="0" t="s">
        <v>134</v>
      </c>
      <c r="B93" s="0" t="n">
        <v>1</v>
      </c>
      <c r="C93" s="0" t="s">
        <v>31</v>
      </c>
      <c r="D93" s="0" t="s">
        <v>31</v>
      </c>
      <c r="E93" s="0" t="n">
        <v>2333</v>
      </c>
      <c r="F93" s="0" t="n">
        <v>1781</v>
      </c>
      <c r="G93" s="0" t="n">
        <v>10</v>
      </c>
      <c r="H93" s="0" t="n">
        <v>3</v>
      </c>
      <c r="I93" s="0" t="n">
        <v>3</v>
      </c>
      <c r="J93" s="0" t="n">
        <v>8</v>
      </c>
      <c r="K93" s="0" t="n">
        <v>0.7</v>
      </c>
      <c r="L93" s="1" t="n">
        <v>1781</v>
      </c>
      <c r="M93" s="0" t="n">
        <v>0</v>
      </c>
      <c r="N93" s="0" t="n">
        <v>1781</v>
      </c>
      <c r="O93" s="0" t="n">
        <v>271486</v>
      </c>
      <c r="P93" s="1" t="n">
        <v>3.21</v>
      </c>
      <c r="Q93" s="0" t="n">
        <v>0</v>
      </c>
      <c r="R93" s="0" t="n">
        <v>28</v>
      </c>
      <c r="S93" s="0" t="s">
        <v>42</v>
      </c>
      <c r="T93" s="0" t="str">
        <f aca="false">IF(L93="inf","False","True")</f>
        <v>True</v>
      </c>
      <c r="U93" s="0" t="str">
        <f aca="false">IF(V93="inf","False","True")</f>
        <v>True</v>
      </c>
      <c r="V93" s="4" t="n">
        <v>56150.65</v>
      </c>
      <c r="W93" s="4" t="n">
        <v>271486</v>
      </c>
      <c r="X93" s="0" t="n">
        <v>4.73</v>
      </c>
      <c r="Y93" s="5" t="n">
        <f aca="false">V93-L93</f>
        <v>54369.65</v>
      </c>
      <c r="Z93" s="6" t="n">
        <f aca="false">Y93/L93</f>
        <v>30.527596855699</v>
      </c>
      <c r="AA93" s="3" t="n">
        <f aca="false">X93-P93</f>
        <v>1.52</v>
      </c>
      <c r="AB93" s="6" t="n">
        <f aca="false">AA93/P93</f>
        <v>0.473520249221184</v>
      </c>
    </row>
    <row r="94" customFormat="false" ht="12.75" hidden="false" customHeight="false" outlineLevel="0" collapsed="false">
      <c r="A94" s="0" t="s">
        <v>135</v>
      </c>
      <c r="B94" s="0" t="n">
        <v>2</v>
      </c>
      <c r="C94" s="0" t="s">
        <v>31</v>
      </c>
      <c r="D94" s="0" t="s">
        <v>31</v>
      </c>
      <c r="E94" s="0" t="n">
        <v>2333</v>
      </c>
      <c r="F94" s="0" t="n">
        <v>1778</v>
      </c>
      <c r="G94" s="0" t="n">
        <v>10</v>
      </c>
      <c r="H94" s="0" t="n">
        <v>3</v>
      </c>
      <c r="I94" s="0" t="n">
        <v>3</v>
      </c>
      <c r="J94" s="0" t="n">
        <v>8</v>
      </c>
      <c r="K94" s="0" t="n">
        <v>0.7</v>
      </c>
      <c r="L94" s="1" t="n">
        <v>1778</v>
      </c>
      <c r="M94" s="0" t="n">
        <v>0</v>
      </c>
      <c r="N94" s="0" t="n">
        <v>1778</v>
      </c>
      <c r="O94" s="0" t="n">
        <v>289817</v>
      </c>
      <c r="P94" s="1" t="n">
        <v>2.74</v>
      </c>
      <c r="Q94" s="0" t="n">
        <v>0</v>
      </c>
      <c r="R94" s="0" t="n">
        <v>1</v>
      </c>
      <c r="S94" s="0" t="s">
        <v>42</v>
      </c>
      <c r="T94" s="0" t="str">
        <f aca="false">IF(L94="inf","False","True")</f>
        <v>True</v>
      </c>
      <c r="U94" s="0" t="str">
        <f aca="false">IF(V94="inf","False","True")</f>
        <v>True</v>
      </c>
      <c r="V94" s="4" t="n">
        <v>507210.03</v>
      </c>
      <c r="W94" s="4" t="n">
        <v>276932.74</v>
      </c>
      <c r="X94" s="0" t="n">
        <v>1.26</v>
      </c>
      <c r="Y94" s="5" t="n">
        <f aca="false">V94-L94</f>
        <v>505432.03</v>
      </c>
      <c r="Z94" s="6" t="n">
        <f aca="false">Y94/L94</f>
        <v>284.269983127109</v>
      </c>
      <c r="AA94" s="3" t="n">
        <f aca="false">X94-P94</f>
        <v>-1.48</v>
      </c>
      <c r="AB94" s="6" t="n">
        <f aca="false">AA94/P94</f>
        <v>-0.54014598540146</v>
      </c>
    </row>
    <row r="95" customFormat="false" ht="12.75" hidden="false" customHeight="false" outlineLevel="0" collapsed="false">
      <c r="A95" s="0" t="s">
        <v>136</v>
      </c>
      <c r="B95" s="0" t="n">
        <v>3</v>
      </c>
      <c r="C95" s="0" t="s">
        <v>31</v>
      </c>
      <c r="D95" s="0" t="s">
        <v>31</v>
      </c>
      <c r="E95" s="0" t="n">
        <v>2333</v>
      </c>
      <c r="F95" s="0" t="n">
        <v>1714</v>
      </c>
      <c r="G95" s="0" t="n">
        <v>10</v>
      </c>
      <c r="H95" s="0" t="n">
        <v>3</v>
      </c>
      <c r="I95" s="0" t="n">
        <v>3</v>
      </c>
      <c r="J95" s="0" t="n">
        <v>8</v>
      </c>
      <c r="K95" s="0" t="n">
        <v>0.7</v>
      </c>
      <c r="L95" s="1" t="n">
        <v>1714</v>
      </c>
      <c r="M95" s="0" t="n">
        <v>0</v>
      </c>
      <c r="N95" s="0" t="n">
        <v>1714</v>
      </c>
      <c r="O95" s="0" t="n">
        <v>253576</v>
      </c>
      <c r="P95" s="1" t="n">
        <v>2.71</v>
      </c>
      <c r="Q95" s="0" t="n">
        <v>0</v>
      </c>
      <c r="R95" s="0" t="n">
        <v>1</v>
      </c>
      <c r="S95" s="0" t="s">
        <v>42</v>
      </c>
      <c r="T95" s="0" t="str">
        <f aca="false">IF(L95="inf","False","True")</f>
        <v>True</v>
      </c>
      <c r="U95" s="0" t="str">
        <f aca="false">IF(V95="inf","False","True")</f>
        <v>True</v>
      </c>
      <c r="V95" s="4" t="n">
        <v>1296.44</v>
      </c>
      <c r="W95" s="4" t="n">
        <v>253576</v>
      </c>
      <c r="X95" s="0" t="n">
        <v>0.49</v>
      </c>
      <c r="Y95" s="5" t="n">
        <f aca="false">V95-L95</f>
        <v>-417.56</v>
      </c>
      <c r="Z95" s="6" t="n">
        <f aca="false">Y95/L95</f>
        <v>-0.243617269544924</v>
      </c>
      <c r="AA95" s="3" t="n">
        <f aca="false">X95-P95</f>
        <v>-2.22</v>
      </c>
      <c r="AB95" s="6" t="n">
        <f aca="false">AA95/P95</f>
        <v>-0.819188191881919</v>
      </c>
    </row>
    <row r="96" customFormat="false" ht="12.75" hidden="false" customHeight="false" outlineLevel="0" collapsed="false">
      <c r="A96" s="0" t="s">
        <v>137</v>
      </c>
      <c r="B96" s="0" t="n">
        <v>4</v>
      </c>
      <c r="C96" s="0" t="s">
        <v>31</v>
      </c>
      <c r="D96" s="0" t="s">
        <v>31</v>
      </c>
      <c r="E96" s="0" t="n">
        <v>2333</v>
      </c>
      <c r="F96" s="0" t="n">
        <v>1843</v>
      </c>
      <c r="G96" s="0" t="n">
        <v>10</v>
      </c>
      <c r="H96" s="0" t="n">
        <v>3</v>
      </c>
      <c r="I96" s="0" t="n">
        <v>3</v>
      </c>
      <c r="J96" s="0" t="n">
        <v>8</v>
      </c>
      <c r="K96" s="0" t="n">
        <v>0.7</v>
      </c>
      <c r="L96" s="1" t="n">
        <v>1843</v>
      </c>
      <c r="M96" s="0" t="n">
        <v>0</v>
      </c>
      <c r="N96" s="0" t="n">
        <v>1843</v>
      </c>
      <c r="O96" s="0" t="n">
        <v>268076</v>
      </c>
      <c r="P96" s="1" t="n">
        <v>2.71</v>
      </c>
      <c r="Q96" s="0" t="n">
        <v>0</v>
      </c>
      <c r="R96" s="0" t="n">
        <v>1</v>
      </c>
      <c r="S96" s="0" t="s">
        <v>42</v>
      </c>
      <c r="T96" s="0" t="str">
        <f aca="false">IF(L96="inf","False","True")</f>
        <v>True</v>
      </c>
      <c r="U96" s="0" t="str">
        <f aca="false">IF(V96="inf","False","True")</f>
        <v>True</v>
      </c>
      <c r="V96" s="4" t="n">
        <v>323432.36</v>
      </c>
      <c r="W96" s="4" t="n">
        <v>267378.78</v>
      </c>
      <c r="X96" s="0" t="n">
        <v>2.05</v>
      </c>
      <c r="Y96" s="5" t="n">
        <f aca="false">V96-L96</f>
        <v>321589.36</v>
      </c>
      <c r="Z96" s="6" t="n">
        <f aca="false">Y96/L96</f>
        <v>174.492327726533</v>
      </c>
      <c r="AA96" s="3" t="n">
        <f aca="false">X96-P96</f>
        <v>-0.66</v>
      </c>
      <c r="AB96" s="6" t="n">
        <f aca="false">AA96/P96</f>
        <v>-0.243542435424354</v>
      </c>
    </row>
    <row r="97" customFormat="false" ht="12.75" hidden="false" customHeight="false" outlineLevel="0" collapsed="false">
      <c r="A97" s="0" t="s">
        <v>138</v>
      </c>
      <c r="B97" s="0" t="n">
        <v>0</v>
      </c>
      <c r="C97" s="0" t="s">
        <v>31</v>
      </c>
      <c r="D97" s="0" t="s">
        <v>31</v>
      </c>
      <c r="E97" s="0" t="n">
        <v>3333</v>
      </c>
      <c r="F97" s="0" t="n">
        <v>2411</v>
      </c>
      <c r="G97" s="0" t="n">
        <v>10</v>
      </c>
      <c r="H97" s="0" t="n">
        <v>3</v>
      </c>
      <c r="I97" s="0" t="n">
        <v>3</v>
      </c>
      <c r="J97" s="0" t="n">
        <v>8</v>
      </c>
      <c r="K97" s="0" t="n">
        <v>0.7</v>
      </c>
      <c r="L97" s="1" t="n">
        <v>2411</v>
      </c>
      <c r="M97" s="0" t="n">
        <v>0</v>
      </c>
      <c r="N97" s="0" t="n">
        <v>2411</v>
      </c>
      <c r="O97" s="0" t="n">
        <v>392870</v>
      </c>
      <c r="P97" s="1" t="n">
        <v>2.82</v>
      </c>
      <c r="Q97" s="0" t="n">
        <v>0</v>
      </c>
      <c r="R97" s="0" t="n">
        <v>1</v>
      </c>
      <c r="S97" s="0" t="s">
        <v>42</v>
      </c>
      <c r="T97" s="0" t="str">
        <f aca="false">IF(L97="inf","False","True")</f>
        <v>True</v>
      </c>
      <c r="U97" s="0" t="str">
        <f aca="false">IF(V97="inf","False","True")</f>
        <v>True</v>
      </c>
      <c r="V97" s="4" t="n">
        <v>1007366.56</v>
      </c>
      <c r="W97" s="4" t="n">
        <v>387132.3</v>
      </c>
      <c r="X97" s="0" t="n">
        <v>6.31</v>
      </c>
      <c r="Y97" s="5" t="n">
        <f aca="false">V97-L97</f>
        <v>1004955.56</v>
      </c>
      <c r="Z97" s="6" t="n">
        <f aca="false">Y97/L97</f>
        <v>416.82105350477</v>
      </c>
      <c r="AA97" s="3" t="n">
        <f aca="false">X97-P97</f>
        <v>3.49</v>
      </c>
      <c r="AB97" s="6" t="n">
        <f aca="false">AA97/P97</f>
        <v>1.23758865248227</v>
      </c>
    </row>
    <row r="98" customFormat="false" ht="12.75" hidden="false" customHeight="false" outlineLevel="0" collapsed="false">
      <c r="A98" s="0" t="s">
        <v>139</v>
      </c>
      <c r="B98" s="0" t="n">
        <v>1</v>
      </c>
      <c r="C98" s="0" t="s">
        <v>31</v>
      </c>
      <c r="D98" s="0" t="s">
        <v>31</v>
      </c>
      <c r="E98" s="0" t="n">
        <v>3333</v>
      </c>
      <c r="F98" s="0" t="n">
        <v>2546</v>
      </c>
      <c r="G98" s="0" t="n">
        <v>10</v>
      </c>
      <c r="H98" s="0" t="n">
        <v>3</v>
      </c>
      <c r="I98" s="0" t="n">
        <v>3</v>
      </c>
      <c r="J98" s="0" t="n">
        <v>8</v>
      </c>
      <c r="K98" s="0" t="n">
        <v>0.7</v>
      </c>
      <c r="L98" s="1" t="n">
        <v>2546</v>
      </c>
      <c r="M98" s="0" t="n">
        <v>0</v>
      </c>
      <c r="N98" s="0" t="n">
        <v>2546</v>
      </c>
      <c r="O98" s="0" t="n">
        <v>387878</v>
      </c>
      <c r="P98" s="1" t="n">
        <v>2.76</v>
      </c>
      <c r="Q98" s="0" t="n">
        <v>0</v>
      </c>
      <c r="R98" s="0" t="n">
        <v>1</v>
      </c>
      <c r="S98" s="0" t="s">
        <v>42</v>
      </c>
      <c r="T98" s="0" t="str">
        <f aca="false">IF(L98="inf","False","True")</f>
        <v>True</v>
      </c>
      <c r="U98" s="0" t="str">
        <f aca="false">IF(V98="inf","False","True")</f>
        <v>True</v>
      </c>
      <c r="V98" s="4" t="n">
        <v>2232.41</v>
      </c>
      <c r="W98" s="4" t="n">
        <v>387878</v>
      </c>
      <c r="X98" s="0" t="n">
        <v>5.93</v>
      </c>
      <c r="Y98" s="5" t="n">
        <f aca="false">V98-L98</f>
        <v>-313.59</v>
      </c>
      <c r="Z98" s="6" t="n">
        <f aca="false">Y98/L98</f>
        <v>-0.123169677926159</v>
      </c>
      <c r="AA98" s="3" t="n">
        <f aca="false">X98-P98</f>
        <v>3.17</v>
      </c>
      <c r="AB98" s="6" t="n">
        <f aca="false">AA98/P98</f>
        <v>1.14855072463768</v>
      </c>
    </row>
    <row r="99" customFormat="false" ht="12.75" hidden="false" customHeight="false" outlineLevel="0" collapsed="false">
      <c r="A99" s="0" t="s">
        <v>140</v>
      </c>
      <c r="B99" s="0" t="n">
        <v>2</v>
      </c>
      <c r="C99" s="0" t="s">
        <v>31</v>
      </c>
      <c r="D99" s="0" t="s">
        <v>31</v>
      </c>
      <c r="E99" s="0" t="n">
        <v>3333</v>
      </c>
      <c r="F99" s="0" t="n">
        <v>2541</v>
      </c>
      <c r="G99" s="0" t="n">
        <v>10</v>
      </c>
      <c r="H99" s="0" t="n">
        <v>3</v>
      </c>
      <c r="I99" s="0" t="n">
        <v>3</v>
      </c>
      <c r="J99" s="0" t="n">
        <v>8</v>
      </c>
      <c r="K99" s="0" t="n">
        <v>0.7</v>
      </c>
      <c r="L99" s="1" t="n">
        <v>2541</v>
      </c>
      <c r="M99" s="0" t="n">
        <v>0</v>
      </c>
      <c r="N99" s="0" t="n">
        <v>2541</v>
      </c>
      <c r="O99" s="0" t="n">
        <v>414074</v>
      </c>
      <c r="P99" s="1" t="n">
        <v>2.71</v>
      </c>
      <c r="Q99" s="0" t="n">
        <v>0</v>
      </c>
      <c r="R99" s="0" t="n">
        <v>1</v>
      </c>
      <c r="S99" s="0" t="s">
        <v>42</v>
      </c>
      <c r="T99" s="0" t="str">
        <f aca="false">IF(L99="inf","False","True")</f>
        <v>True</v>
      </c>
      <c r="U99" s="0" t="str">
        <f aca="false">IF(V99="inf","False","True")</f>
        <v>True</v>
      </c>
      <c r="V99" s="4" t="n">
        <v>434209.86</v>
      </c>
      <c r="W99" s="4" t="n">
        <v>418374.5</v>
      </c>
      <c r="X99" s="0" t="n">
        <v>5.32</v>
      </c>
      <c r="Y99" s="5" t="n">
        <f aca="false">V99-L99</f>
        <v>431668.86</v>
      </c>
      <c r="Z99" s="6" t="n">
        <f aca="false">Y99/L99</f>
        <v>169.881487603306</v>
      </c>
      <c r="AA99" s="3" t="n">
        <f aca="false">X99-P99</f>
        <v>2.61</v>
      </c>
      <c r="AB99" s="6" t="n">
        <f aca="false">AA99/P99</f>
        <v>0.96309963099631</v>
      </c>
    </row>
    <row r="100" customFormat="false" ht="12.75" hidden="false" customHeight="false" outlineLevel="0" collapsed="false">
      <c r="A100" s="0" t="s">
        <v>141</v>
      </c>
      <c r="B100" s="0" t="n">
        <v>3</v>
      </c>
      <c r="C100" s="0" t="s">
        <v>31</v>
      </c>
      <c r="D100" s="0" t="s">
        <v>31</v>
      </c>
      <c r="E100" s="0" t="n">
        <v>3333</v>
      </c>
      <c r="F100" s="0" t="n">
        <v>2451</v>
      </c>
      <c r="G100" s="0" t="n">
        <v>10</v>
      </c>
      <c r="H100" s="0" t="n">
        <v>3</v>
      </c>
      <c r="I100" s="0" t="n">
        <v>3</v>
      </c>
      <c r="J100" s="0" t="n">
        <v>8</v>
      </c>
      <c r="K100" s="0" t="n">
        <v>0.7</v>
      </c>
      <c r="L100" s="1" t="n">
        <v>2451</v>
      </c>
      <c r="M100" s="0" t="n">
        <v>0</v>
      </c>
      <c r="N100" s="0" t="n">
        <v>2451</v>
      </c>
      <c r="O100" s="0" t="n">
        <v>362290</v>
      </c>
      <c r="P100" s="1" t="n">
        <v>2.72</v>
      </c>
      <c r="Q100" s="0" t="n">
        <v>0</v>
      </c>
      <c r="R100" s="0" t="n">
        <v>1</v>
      </c>
      <c r="S100" s="0" t="s">
        <v>42</v>
      </c>
      <c r="T100" s="0" t="str">
        <f aca="false">IF(L100="inf","False","True")</f>
        <v>True</v>
      </c>
      <c r="U100" s="0" t="str">
        <f aca="false">IF(V100="inf","False","True")</f>
        <v>True</v>
      </c>
      <c r="V100" s="4" t="n">
        <v>1817.67</v>
      </c>
      <c r="W100" s="4" t="n">
        <v>362290</v>
      </c>
      <c r="X100" s="0" t="n">
        <v>6.46</v>
      </c>
      <c r="Y100" s="5" t="n">
        <f aca="false">V100-L100</f>
        <v>-633.33</v>
      </c>
      <c r="Z100" s="6" t="n">
        <f aca="false">Y100/L100</f>
        <v>-0.258396572827417</v>
      </c>
      <c r="AA100" s="3" t="n">
        <f aca="false">X100-P100</f>
        <v>3.74</v>
      </c>
      <c r="AB100" s="6" t="n">
        <f aca="false">AA100/P100</f>
        <v>1.375</v>
      </c>
    </row>
    <row r="101" customFormat="false" ht="12.75" hidden="false" customHeight="false" outlineLevel="0" collapsed="false">
      <c r="A101" s="0" t="s">
        <v>142</v>
      </c>
      <c r="B101" s="0" t="n">
        <v>4</v>
      </c>
      <c r="C101" s="0" t="s">
        <v>31</v>
      </c>
      <c r="D101" s="0" t="s">
        <v>31</v>
      </c>
      <c r="E101" s="0" t="n">
        <v>3333</v>
      </c>
      <c r="F101" s="0" t="n">
        <v>2635</v>
      </c>
      <c r="G101" s="0" t="n">
        <v>10</v>
      </c>
      <c r="H101" s="0" t="n">
        <v>3</v>
      </c>
      <c r="I101" s="0" t="n">
        <v>3</v>
      </c>
      <c r="J101" s="0" t="n">
        <v>8</v>
      </c>
      <c r="K101" s="0" t="n">
        <v>0.7</v>
      </c>
      <c r="L101" s="1" t="n">
        <v>2635</v>
      </c>
      <c r="M101" s="0" t="n">
        <v>0</v>
      </c>
      <c r="N101" s="0" t="n">
        <v>2635</v>
      </c>
      <c r="O101" s="0" t="n">
        <v>382977</v>
      </c>
      <c r="P101" s="1" t="n">
        <v>2.75</v>
      </c>
      <c r="Q101" s="0" t="n">
        <v>0</v>
      </c>
      <c r="R101" s="0" t="n">
        <v>1</v>
      </c>
      <c r="S101" s="0" t="s">
        <v>42</v>
      </c>
      <c r="T101" s="0" t="str">
        <f aca="false">IF(L101="inf","False","True")</f>
        <v>True</v>
      </c>
      <c r="U101" s="0" t="str">
        <f aca="false">IF(V101="inf","False","True")</f>
        <v>True</v>
      </c>
      <c r="V101" s="4" t="n">
        <v>214859.87</v>
      </c>
      <c r="W101" s="4" t="n">
        <v>368680.68</v>
      </c>
      <c r="X101" s="0" t="n">
        <v>5.11</v>
      </c>
      <c r="Y101" s="5" t="n">
        <f aca="false">V101-L101</f>
        <v>212224.87</v>
      </c>
      <c r="Z101" s="6" t="n">
        <f aca="false">Y101/L101</f>
        <v>80.5407476280835</v>
      </c>
      <c r="AA101" s="3" t="n">
        <f aca="false">X101-P101</f>
        <v>2.36</v>
      </c>
      <c r="AB101" s="6" t="n">
        <f aca="false">AA101/P101</f>
        <v>0.858181818181818</v>
      </c>
    </row>
    <row r="102" customFormat="false" ht="12.75" hidden="false" customHeight="false" outlineLevel="0" collapsed="false">
      <c r="A102" s="0" t="s">
        <v>143</v>
      </c>
      <c r="B102" s="0" t="n">
        <v>0</v>
      </c>
      <c r="C102" s="0" t="s">
        <v>31</v>
      </c>
      <c r="D102" s="0" t="s">
        <v>31</v>
      </c>
      <c r="E102" s="0" t="n">
        <v>1000</v>
      </c>
      <c r="F102" s="0" t="n">
        <v>759</v>
      </c>
      <c r="G102" s="0" t="n">
        <v>10</v>
      </c>
      <c r="H102" s="0" t="n">
        <v>3</v>
      </c>
      <c r="I102" s="0" t="n">
        <v>3</v>
      </c>
      <c r="J102" s="0" t="n">
        <v>12</v>
      </c>
      <c r="K102" s="0" t="n">
        <v>0.7</v>
      </c>
      <c r="L102" s="1" t="n">
        <v>759</v>
      </c>
      <c r="M102" s="0" t="n">
        <v>0</v>
      </c>
      <c r="N102" s="0" t="n">
        <v>759</v>
      </c>
      <c r="O102" s="0" t="n">
        <v>137145</v>
      </c>
      <c r="P102" s="1" t="n">
        <v>3.56</v>
      </c>
      <c r="Q102" s="0" t="n">
        <v>0</v>
      </c>
      <c r="R102" s="0" t="n">
        <v>1</v>
      </c>
      <c r="S102" s="0" t="s">
        <v>42</v>
      </c>
      <c r="T102" s="0" t="str">
        <f aca="false">IF(L102="inf","False","True")</f>
        <v>True</v>
      </c>
      <c r="U102" s="0" t="str">
        <f aca="false">IF(V102="inf","False","True")</f>
        <v>True</v>
      </c>
      <c r="V102" s="4" t="n">
        <v>252505.62</v>
      </c>
      <c r="W102" s="4" t="n">
        <v>122735.31</v>
      </c>
      <c r="X102" s="0" t="n">
        <v>82.99</v>
      </c>
      <c r="Y102" s="5" t="n">
        <f aca="false">V102-L102</f>
        <v>251746.62</v>
      </c>
      <c r="Z102" s="6" t="n">
        <f aca="false">Y102/L102</f>
        <v>331.681976284585</v>
      </c>
      <c r="AA102" s="3" t="n">
        <f aca="false">X102-P102</f>
        <v>79.43</v>
      </c>
      <c r="AB102" s="6" t="n">
        <f aca="false">AA102/P102</f>
        <v>22.311797752809</v>
      </c>
    </row>
    <row r="103" customFormat="false" ht="12.75" hidden="false" customHeight="false" outlineLevel="0" collapsed="false">
      <c r="A103" s="0" t="s">
        <v>144</v>
      </c>
      <c r="B103" s="0" t="n">
        <v>1</v>
      </c>
      <c r="C103" s="0" t="s">
        <v>31</v>
      </c>
      <c r="D103" s="0" t="s">
        <v>31</v>
      </c>
      <c r="E103" s="0" t="n">
        <v>1000</v>
      </c>
      <c r="F103" s="0" t="n">
        <v>807</v>
      </c>
      <c r="G103" s="0" t="n">
        <v>10</v>
      </c>
      <c r="H103" s="0" t="n">
        <v>3</v>
      </c>
      <c r="I103" s="0" t="n">
        <v>3</v>
      </c>
      <c r="J103" s="0" t="n">
        <v>12</v>
      </c>
      <c r="K103" s="0" t="n">
        <v>0.7</v>
      </c>
      <c r="L103" s="1" t="n">
        <v>807</v>
      </c>
      <c r="M103" s="0" t="n">
        <v>0</v>
      </c>
      <c r="N103" s="0" t="n">
        <v>807</v>
      </c>
      <c r="O103" s="0" t="n">
        <v>118087</v>
      </c>
      <c r="P103" s="1" t="n">
        <v>3.52</v>
      </c>
      <c r="Q103" s="0" t="n">
        <v>0</v>
      </c>
      <c r="R103" s="0" t="n">
        <v>1</v>
      </c>
      <c r="S103" s="0" t="s">
        <v>42</v>
      </c>
      <c r="T103" s="0" t="str">
        <f aca="false">IF(L103="inf","False","True")</f>
        <v>True</v>
      </c>
      <c r="U103" s="0" t="str">
        <f aca="false">IF(V103="inf","False","True")</f>
        <v>True</v>
      </c>
      <c r="V103" s="4" t="n">
        <v>96468.93</v>
      </c>
      <c r="W103" s="4" t="n">
        <v>113244.8</v>
      </c>
      <c r="X103" s="0" t="n">
        <v>30.13</v>
      </c>
      <c r="Y103" s="5" t="n">
        <f aca="false">V103-L103</f>
        <v>95661.93</v>
      </c>
      <c r="Z103" s="6" t="n">
        <f aca="false">Y103/L103</f>
        <v>118.540185873606</v>
      </c>
      <c r="AA103" s="3" t="n">
        <f aca="false">X103-P103</f>
        <v>26.61</v>
      </c>
      <c r="AB103" s="6" t="n">
        <f aca="false">AA103/P103</f>
        <v>7.55965909090909</v>
      </c>
    </row>
    <row r="104" customFormat="false" ht="12.75" hidden="false" customHeight="false" outlineLevel="0" collapsed="false">
      <c r="A104" s="0" t="s">
        <v>145</v>
      </c>
      <c r="B104" s="0" t="n">
        <v>2</v>
      </c>
      <c r="C104" s="0" t="s">
        <v>31</v>
      </c>
      <c r="D104" s="0" t="s">
        <v>31</v>
      </c>
      <c r="E104" s="0" t="n">
        <v>1000</v>
      </c>
      <c r="F104" s="0" t="n">
        <v>750</v>
      </c>
      <c r="G104" s="0" t="n">
        <v>10</v>
      </c>
      <c r="H104" s="0" t="n">
        <v>3</v>
      </c>
      <c r="I104" s="0" t="n">
        <v>3</v>
      </c>
      <c r="J104" s="0" t="n">
        <v>12</v>
      </c>
      <c r="K104" s="0" t="n">
        <v>0.7</v>
      </c>
      <c r="L104" s="1" t="n">
        <v>750</v>
      </c>
      <c r="M104" s="0" t="n">
        <v>0</v>
      </c>
      <c r="N104" s="0" t="n">
        <v>750</v>
      </c>
      <c r="O104" s="0" t="n">
        <v>144309</v>
      </c>
      <c r="P104" s="1" t="n">
        <v>3.55</v>
      </c>
      <c r="Q104" s="0" t="n">
        <v>0</v>
      </c>
      <c r="R104" s="0" t="n">
        <v>1</v>
      </c>
      <c r="S104" s="0" t="s">
        <v>42</v>
      </c>
      <c r="T104" s="0" t="str">
        <f aca="false">IF(L104="inf","False","True")</f>
        <v>True</v>
      </c>
      <c r="U104" s="0" t="str">
        <f aca="false">IF(V104="inf","False","True")</f>
        <v>True</v>
      </c>
      <c r="V104" s="4" t="n">
        <v>197167.3</v>
      </c>
      <c r="W104" s="4" t="n">
        <v>117589.19</v>
      </c>
      <c r="X104" s="0" t="n">
        <v>0</v>
      </c>
      <c r="Y104" s="5" t="n">
        <f aca="false">V104-L104</f>
        <v>196417.3</v>
      </c>
      <c r="Z104" s="6" t="n">
        <f aca="false">Y104/L104</f>
        <v>261.889733333333</v>
      </c>
      <c r="AA104" s="3" t="n">
        <f aca="false">X104-P104</f>
        <v>-3.55</v>
      </c>
      <c r="AB104" s="6" t="n">
        <f aca="false">AA104/P104</f>
        <v>-1</v>
      </c>
    </row>
    <row r="105" customFormat="false" ht="12.75" hidden="false" customHeight="false" outlineLevel="0" collapsed="false">
      <c r="A105" s="0" t="s">
        <v>146</v>
      </c>
      <c r="B105" s="0" t="n">
        <v>3</v>
      </c>
      <c r="C105" s="0" t="s">
        <v>31</v>
      </c>
      <c r="D105" s="0" t="s">
        <v>31</v>
      </c>
      <c r="E105" s="0" t="n">
        <v>1000</v>
      </c>
      <c r="F105" s="0" t="n">
        <v>752</v>
      </c>
      <c r="G105" s="0" t="n">
        <v>10</v>
      </c>
      <c r="H105" s="0" t="n">
        <v>3</v>
      </c>
      <c r="I105" s="0" t="n">
        <v>3</v>
      </c>
      <c r="J105" s="0" t="n">
        <v>12</v>
      </c>
      <c r="K105" s="0" t="n">
        <v>0.7</v>
      </c>
      <c r="L105" s="1" t="n">
        <v>752</v>
      </c>
      <c r="M105" s="0" t="n">
        <v>0</v>
      </c>
      <c r="N105" s="0" t="n">
        <v>752</v>
      </c>
      <c r="O105" s="0" t="n">
        <v>116434</v>
      </c>
      <c r="P105" s="1" t="n">
        <v>3.49</v>
      </c>
      <c r="Q105" s="0" t="n">
        <v>0</v>
      </c>
      <c r="R105" s="0" t="n">
        <v>1</v>
      </c>
      <c r="S105" s="0" t="s">
        <v>42</v>
      </c>
      <c r="T105" s="0" t="str">
        <f aca="false">IF(L105="inf","False","True")</f>
        <v>True</v>
      </c>
      <c r="U105" s="0" t="str">
        <f aca="false">IF(V105="inf","False","True")</f>
        <v>True</v>
      </c>
      <c r="V105" s="4" t="n">
        <v>132652.06</v>
      </c>
      <c r="W105" s="4" t="n">
        <v>109938.53</v>
      </c>
      <c r="X105" s="0" t="n">
        <v>16.84</v>
      </c>
      <c r="Y105" s="5" t="n">
        <f aca="false">V105-L105</f>
        <v>131900.06</v>
      </c>
      <c r="Z105" s="6" t="n">
        <f aca="false">Y105/L105</f>
        <v>175.399015957447</v>
      </c>
      <c r="AA105" s="3" t="n">
        <f aca="false">X105-P105</f>
        <v>13.35</v>
      </c>
      <c r="AB105" s="6" t="n">
        <f aca="false">AA105/P105</f>
        <v>3.82521489971347</v>
      </c>
    </row>
    <row r="106" customFormat="false" ht="12.75" hidden="false" customHeight="false" outlineLevel="0" collapsed="false">
      <c r="A106" s="0" t="s">
        <v>147</v>
      </c>
      <c r="B106" s="0" t="n">
        <v>4</v>
      </c>
      <c r="C106" s="0" t="s">
        <v>31</v>
      </c>
      <c r="D106" s="0" t="s">
        <v>31</v>
      </c>
      <c r="E106" s="0" t="n">
        <v>1000</v>
      </c>
      <c r="F106" s="0" t="n">
        <v>821</v>
      </c>
      <c r="G106" s="0" t="n">
        <v>10</v>
      </c>
      <c r="H106" s="0" t="n">
        <v>3</v>
      </c>
      <c r="I106" s="0" t="n">
        <v>3</v>
      </c>
      <c r="J106" s="0" t="n">
        <v>12</v>
      </c>
      <c r="K106" s="0" t="n">
        <v>0.7</v>
      </c>
      <c r="L106" s="1" t="n">
        <v>821</v>
      </c>
      <c r="M106" s="0" t="n">
        <v>0</v>
      </c>
      <c r="N106" s="0" t="n">
        <v>821</v>
      </c>
      <c r="O106" s="0" t="n">
        <v>119951</v>
      </c>
      <c r="P106" s="1" t="n">
        <v>3.57</v>
      </c>
      <c r="Q106" s="0" t="n">
        <v>0</v>
      </c>
      <c r="R106" s="0" t="n">
        <v>1</v>
      </c>
      <c r="S106" s="0" t="s">
        <v>42</v>
      </c>
      <c r="T106" s="0" t="str">
        <f aca="false">IF(L106="inf","False","True")</f>
        <v>True</v>
      </c>
      <c r="U106" s="0" t="str">
        <f aca="false">IF(V106="inf","False","True")</f>
        <v>True</v>
      </c>
      <c r="V106" s="4" t="n">
        <v>6987.16</v>
      </c>
      <c r="W106" s="4" t="n">
        <v>119345.97</v>
      </c>
      <c r="X106" s="0" t="n">
        <v>5.31</v>
      </c>
      <c r="Y106" s="5" t="n">
        <f aca="false">V106-L106</f>
        <v>6166.16</v>
      </c>
      <c r="Z106" s="6" t="n">
        <f aca="false">Y106/L106</f>
        <v>7.51054811205847</v>
      </c>
      <c r="AA106" s="3" t="n">
        <f aca="false">X106-P106</f>
        <v>1.74</v>
      </c>
      <c r="AB106" s="6" t="n">
        <f aca="false">AA106/P106</f>
        <v>0.487394957983193</v>
      </c>
    </row>
    <row r="107" customFormat="false" ht="12.75" hidden="false" customHeight="false" outlineLevel="0" collapsed="false">
      <c r="A107" s="0" t="s">
        <v>148</v>
      </c>
      <c r="B107" s="0" t="n">
        <v>0</v>
      </c>
      <c r="C107" s="0" t="s">
        <v>31</v>
      </c>
      <c r="D107" s="0" t="s">
        <v>31</v>
      </c>
      <c r="E107" s="0" t="n">
        <v>1666</v>
      </c>
      <c r="F107" s="0" t="n">
        <v>1266</v>
      </c>
      <c r="G107" s="0" t="n">
        <v>10</v>
      </c>
      <c r="H107" s="0" t="n">
        <v>3</v>
      </c>
      <c r="I107" s="0" t="n">
        <v>3</v>
      </c>
      <c r="J107" s="0" t="n">
        <v>12</v>
      </c>
      <c r="K107" s="0" t="n">
        <v>0.7</v>
      </c>
      <c r="L107" s="1" t="n">
        <v>1266</v>
      </c>
      <c r="M107" s="0" t="n">
        <v>0</v>
      </c>
      <c r="N107" s="0" t="n">
        <v>1266</v>
      </c>
      <c r="O107" s="0" t="n">
        <v>228604</v>
      </c>
      <c r="P107" s="1" t="n">
        <v>3.55</v>
      </c>
      <c r="Q107" s="0" t="n">
        <v>0</v>
      </c>
      <c r="R107" s="0" t="n">
        <v>1</v>
      </c>
      <c r="S107" s="0" t="s">
        <v>42</v>
      </c>
      <c r="T107" s="0" t="str">
        <f aca="false">IF(L107="inf","False","True")</f>
        <v>True</v>
      </c>
      <c r="U107" s="0" t="str">
        <f aca="false">IF(V107="inf","False","True")</f>
        <v>True</v>
      </c>
      <c r="V107" s="4" t="n">
        <v>337564.3</v>
      </c>
      <c r="W107" s="4" t="n">
        <v>212033.85</v>
      </c>
      <c r="X107" s="0" t="n">
        <v>1.34</v>
      </c>
      <c r="Y107" s="5" t="n">
        <f aca="false">V107-L107</f>
        <v>336298.3</v>
      </c>
      <c r="Z107" s="6" t="n">
        <f aca="false">Y107/L107</f>
        <v>265.638467614534</v>
      </c>
      <c r="AA107" s="3" t="n">
        <f aca="false">X107-P107</f>
        <v>-2.21</v>
      </c>
      <c r="AB107" s="6" t="n">
        <f aca="false">AA107/P107</f>
        <v>-0.622535211267606</v>
      </c>
    </row>
    <row r="108" customFormat="false" ht="12.75" hidden="false" customHeight="false" outlineLevel="0" collapsed="false">
      <c r="A108" s="0" t="s">
        <v>149</v>
      </c>
      <c r="B108" s="0" t="n">
        <v>1</v>
      </c>
      <c r="C108" s="0" t="s">
        <v>31</v>
      </c>
      <c r="D108" s="0" t="s">
        <v>31</v>
      </c>
      <c r="E108" s="0" t="n">
        <v>1666</v>
      </c>
      <c r="F108" s="0" t="n">
        <v>1346</v>
      </c>
      <c r="G108" s="0" t="n">
        <v>10</v>
      </c>
      <c r="H108" s="0" t="n">
        <v>3</v>
      </c>
      <c r="I108" s="0" t="n">
        <v>3</v>
      </c>
      <c r="J108" s="0" t="n">
        <v>12</v>
      </c>
      <c r="K108" s="0" t="n">
        <v>0.7</v>
      </c>
      <c r="L108" s="1" t="n">
        <v>1346</v>
      </c>
      <c r="M108" s="0" t="n">
        <v>0</v>
      </c>
      <c r="N108" s="0" t="n">
        <v>1346</v>
      </c>
      <c r="O108" s="0" t="n">
        <v>196840</v>
      </c>
      <c r="P108" s="1" t="n">
        <v>3.53</v>
      </c>
      <c r="Q108" s="0" t="n">
        <v>0</v>
      </c>
      <c r="R108" s="0" t="n">
        <v>1</v>
      </c>
      <c r="S108" s="0" t="s">
        <v>42</v>
      </c>
      <c r="T108" s="0" t="str">
        <f aca="false">IF(L108="inf","False","True")</f>
        <v>True</v>
      </c>
      <c r="U108" s="0" t="str">
        <f aca="false">IF(V108="inf","False","True")</f>
        <v>True</v>
      </c>
      <c r="V108" s="4" t="n">
        <v>66628.46</v>
      </c>
      <c r="W108" s="4" t="n">
        <v>190975.11</v>
      </c>
      <c r="X108" s="0" t="n">
        <v>2.56</v>
      </c>
      <c r="Y108" s="5" t="n">
        <f aca="false">V108-L108</f>
        <v>65282.46</v>
      </c>
      <c r="Z108" s="6" t="n">
        <f aca="false">Y108/L108</f>
        <v>48.5010846953938</v>
      </c>
      <c r="AA108" s="3" t="n">
        <f aca="false">X108-P108</f>
        <v>-0.97</v>
      </c>
      <c r="AB108" s="6" t="n">
        <f aca="false">AA108/P108</f>
        <v>-0.274787535410765</v>
      </c>
    </row>
    <row r="109" customFormat="false" ht="12.75" hidden="false" customHeight="false" outlineLevel="0" collapsed="false">
      <c r="A109" s="0" t="s">
        <v>150</v>
      </c>
      <c r="B109" s="0" t="n">
        <v>2</v>
      </c>
      <c r="C109" s="0" t="s">
        <v>31</v>
      </c>
      <c r="D109" s="0" t="s">
        <v>31</v>
      </c>
      <c r="E109" s="0" t="n">
        <v>1666</v>
      </c>
      <c r="F109" s="0" t="n">
        <v>1251</v>
      </c>
      <c r="G109" s="0" t="n">
        <v>10</v>
      </c>
      <c r="H109" s="0" t="n">
        <v>3</v>
      </c>
      <c r="I109" s="0" t="n">
        <v>3</v>
      </c>
      <c r="J109" s="0" t="n">
        <v>12</v>
      </c>
      <c r="K109" s="0" t="n">
        <v>0.7</v>
      </c>
      <c r="L109" s="1" t="n">
        <v>1251</v>
      </c>
      <c r="M109" s="0" t="n">
        <v>0</v>
      </c>
      <c r="N109" s="0" t="n">
        <v>1251</v>
      </c>
      <c r="O109" s="0" t="n">
        <v>240521</v>
      </c>
      <c r="P109" s="1" t="n">
        <v>3.55</v>
      </c>
      <c r="Q109" s="0" t="n">
        <v>0</v>
      </c>
      <c r="R109" s="0" t="n">
        <v>1</v>
      </c>
      <c r="S109" s="0" t="s">
        <v>42</v>
      </c>
      <c r="T109" s="0" t="str">
        <f aca="false">IF(L109="inf","False","True")</f>
        <v>True</v>
      </c>
      <c r="U109" s="0" t="str">
        <f aca="false">IF(V109="inf","False","True")</f>
        <v>True</v>
      </c>
      <c r="V109" s="4" t="n">
        <v>174644.05</v>
      </c>
      <c r="W109" s="4" t="n">
        <v>211124.19</v>
      </c>
      <c r="X109" s="0" t="n">
        <v>0</v>
      </c>
      <c r="Y109" s="5" t="n">
        <f aca="false">V109-L109</f>
        <v>173393.05</v>
      </c>
      <c r="Z109" s="6" t="n">
        <f aca="false">Y109/L109</f>
        <v>138.603557154277</v>
      </c>
      <c r="AA109" s="3" t="n">
        <f aca="false">X109-P109</f>
        <v>-3.55</v>
      </c>
      <c r="AB109" s="6" t="n">
        <f aca="false">AA109/P109</f>
        <v>-1</v>
      </c>
    </row>
    <row r="110" customFormat="false" ht="12.75" hidden="false" customHeight="false" outlineLevel="0" collapsed="false">
      <c r="A110" s="0" t="s">
        <v>151</v>
      </c>
      <c r="B110" s="0" t="n">
        <v>3</v>
      </c>
      <c r="C110" s="0" t="s">
        <v>31</v>
      </c>
      <c r="D110" s="0" t="s">
        <v>31</v>
      </c>
      <c r="E110" s="0" t="n">
        <v>1666</v>
      </c>
      <c r="F110" s="0" t="n">
        <v>1254</v>
      </c>
      <c r="G110" s="0" t="n">
        <v>10</v>
      </c>
      <c r="H110" s="0" t="n">
        <v>3</v>
      </c>
      <c r="I110" s="0" t="n">
        <v>3</v>
      </c>
      <c r="J110" s="0" t="n">
        <v>12</v>
      </c>
      <c r="K110" s="0" t="n">
        <v>0.7</v>
      </c>
      <c r="L110" s="1" t="n">
        <v>1254</v>
      </c>
      <c r="M110" s="0" t="n">
        <v>0</v>
      </c>
      <c r="N110" s="0" t="n">
        <v>1254</v>
      </c>
      <c r="O110" s="0" t="n">
        <v>194022</v>
      </c>
      <c r="P110" s="1" t="n">
        <v>3.54</v>
      </c>
      <c r="Q110" s="0" t="n">
        <v>0</v>
      </c>
      <c r="R110" s="0" t="n">
        <v>1</v>
      </c>
      <c r="S110" s="0" t="s">
        <v>42</v>
      </c>
      <c r="T110" s="0" t="str">
        <f aca="false">IF(L110="inf","False","True")</f>
        <v>True</v>
      </c>
      <c r="U110" s="0" t="str">
        <f aca="false">IF(V110="inf","False","True")</f>
        <v>True</v>
      </c>
      <c r="V110" s="4" t="n">
        <v>963.18</v>
      </c>
      <c r="W110" s="4" t="n">
        <v>194022</v>
      </c>
      <c r="X110" s="0" t="n">
        <v>10.76</v>
      </c>
      <c r="Y110" s="5" t="n">
        <f aca="false">V110-L110</f>
        <v>-290.82</v>
      </c>
      <c r="Z110" s="6" t="n">
        <f aca="false">Y110/L110</f>
        <v>-0.231913875598086</v>
      </c>
      <c r="AA110" s="3" t="n">
        <f aca="false">X110-P110</f>
        <v>7.22</v>
      </c>
      <c r="AB110" s="6" t="n">
        <f aca="false">AA110/P110</f>
        <v>2.03954802259887</v>
      </c>
    </row>
    <row r="111" customFormat="false" ht="12.75" hidden="false" customHeight="false" outlineLevel="0" collapsed="false">
      <c r="A111" s="0" t="s">
        <v>152</v>
      </c>
      <c r="B111" s="0" t="n">
        <v>4</v>
      </c>
      <c r="C111" s="0" t="s">
        <v>31</v>
      </c>
      <c r="D111" s="0" t="s">
        <v>31</v>
      </c>
      <c r="E111" s="0" t="n">
        <v>1666</v>
      </c>
      <c r="F111" s="0" t="n">
        <v>1371</v>
      </c>
      <c r="G111" s="0" t="n">
        <v>10</v>
      </c>
      <c r="H111" s="0" t="n">
        <v>3</v>
      </c>
      <c r="I111" s="0" t="n">
        <v>3</v>
      </c>
      <c r="J111" s="0" t="n">
        <v>12</v>
      </c>
      <c r="K111" s="0" t="n">
        <v>0.7</v>
      </c>
      <c r="L111" s="1" t="n">
        <v>1371</v>
      </c>
      <c r="M111" s="0" t="n">
        <v>0</v>
      </c>
      <c r="N111" s="0" t="n">
        <v>1371</v>
      </c>
      <c r="O111" s="0" t="n">
        <v>199958</v>
      </c>
      <c r="P111" s="1" t="n">
        <v>3.5</v>
      </c>
      <c r="Q111" s="0" t="n">
        <v>0</v>
      </c>
      <c r="R111" s="0" t="n">
        <v>1</v>
      </c>
      <c r="S111" s="0" t="s">
        <v>42</v>
      </c>
      <c r="T111" s="0" t="str">
        <f aca="false">IF(L111="inf","False","True")</f>
        <v>True</v>
      </c>
      <c r="U111" s="0" t="str">
        <f aca="false">IF(V111="inf","False","True")</f>
        <v>True</v>
      </c>
      <c r="V111" s="4" t="n">
        <v>18356.39</v>
      </c>
      <c r="W111" s="4" t="n">
        <v>201554</v>
      </c>
      <c r="X111" s="0" t="n">
        <v>2.73</v>
      </c>
      <c r="Y111" s="5" t="n">
        <f aca="false">V111-L111</f>
        <v>16985.39</v>
      </c>
      <c r="Z111" s="6" t="n">
        <f aca="false">Y111/L111</f>
        <v>12.3890517870168</v>
      </c>
      <c r="AA111" s="3" t="n">
        <f aca="false">X111-P111</f>
        <v>-0.77</v>
      </c>
      <c r="AB111" s="6" t="n">
        <f aca="false">AA111/P111</f>
        <v>-0.22</v>
      </c>
    </row>
    <row r="112" customFormat="false" ht="12.75" hidden="false" customHeight="false" outlineLevel="0" collapsed="false">
      <c r="A112" s="0" t="s">
        <v>153</v>
      </c>
      <c r="B112" s="0" t="n">
        <v>0</v>
      </c>
      <c r="C112" s="0" t="s">
        <v>31</v>
      </c>
      <c r="D112" s="0" t="s">
        <v>31</v>
      </c>
      <c r="E112" s="0" t="n">
        <v>2333</v>
      </c>
      <c r="F112" s="0" t="n">
        <v>1772</v>
      </c>
      <c r="G112" s="0" t="n">
        <v>10</v>
      </c>
      <c r="H112" s="0" t="n">
        <v>3</v>
      </c>
      <c r="I112" s="0" t="n">
        <v>3</v>
      </c>
      <c r="J112" s="0" t="n">
        <v>12</v>
      </c>
      <c r="K112" s="0" t="n">
        <v>0.7</v>
      </c>
      <c r="L112" s="1" t="n">
        <v>1772</v>
      </c>
      <c r="M112" s="0" t="n">
        <v>0</v>
      </c>
      <c r="N112" s="0" t="n">
        <v>1772</v>
      </c>
      <c r="O112" s="0" t="n">
        <v>320057</v>
      </c>
      <c r="P112" s="1" t="n">
        <v>4.28</v>
      </c>
      <c r="Q112" s="0" t="n">
        <v>0</v>
      </c>
      <c r="R112" s="0" t="n">
        <v>6</v>
      </c>
      <c r="S112" s="0" t="s">
        <v>42</v>
      </c>
      <c r="T112" s="0" t="str">
        <f aca="false">IF(L112="inf","False","True")</f>
        <v>True</v>
      </c>
      <c r="U112" s="0" t="str">
        <f aca="false">IF(V112="inf","False","True")</f>
        <v>True</v>
      </c>
      <c r="V112" s="4" t="n">
        <v>532252.22</v>
      </c>
      <c r="W112" s="4" t="n">
        <v>289681.83</v>
      </c>
      <c r="X112" s="0" t="n">
        <v>17.81</v>
      </c>
      <c r="Y112" s="5" t="n">
        <f aca="false">V112-L112</f>
        <v>530480.22</v>
      </c>
      <c r="Z112" s="6" t="n">
        <f aca="false">Y112/L112</f>
        <v>299.368069977427</v>
      </c>
      <c r="AA112" s="3" t="n">
        <f aca="false">X112-P112</f>
        <v>13.53</v>
      </c>
      <c r="AB112" s="6" t="n">
        <f aca="false">AA112/P112</f>
        <v>3.16121495327103</v>
      </c>
    </row>
    <row r="113" customFormat="false" ht="12.75" hidden="false" customHeight="false" outlineLevel="0" collapsed="false">
      <c r="A113" s="0" t="s">
        <v>154</v>
      </c>
      <c r="B113" s="0" t="n">
        <v>1</v>
      </c>
      <c r="C113" s="0" t="s">
        <v>31</v>
      </c>
      <c r="D113" s="0" t="s">
        <v>31</v>
      </c>
      <c r="E113" s="0" t="n">
        <v>2333</v>
      </c>
      <c r="F113" s="0" t="n">
        <v>1885</v>
      </c>
      <c r="G113" s="0" t="n">
        <v>10</v>
      </c>
      <c r="H113" s="0" t="n">
        <v>3</v>
      </c>
      <c r="I113" s="0" t="n">
        <v>3</v>
      </c>
      <c r="J113" s="0" t="n">
        <v>12</v>
      </c>
      <c r="K113" s="0" t="n">
        <v>0.7</v>
      </c>
      <c r="L113" s="1" t="n">
        <v>1885</v>
      </c>
      <c r="M113" s="0" t="n">
        <v>0</v>
      </c>
      <c r="N113" s="0" t="n">
        <v>1885</v>
      </c>
      <c r="O113" s="0" t="n">
        <v>275525</v>
      </c>
      <c r="P113" s="1" t="n">
        <v>3.49</v>
      </c>
      <c r="Q113" s="0" t="n">
        <v>0</v>
      </c>
      <c r="R113" s="0" t="n">
        <v>1</v>
      </c>
      <c r="S113" s="0" t="s">
        <v>42</v>
      </c>
      <c r="T113" s="0" t="str">
        <f aca="false">IF(L113="inf","False","True")</f>
        <v>True</v>
      </c>
      <c r="U113" s="0" t="str">
        <f aca="false">IF(V113="inf","False","True")</f>
        <v>True</v>
      </c>
      <c r="V113" s="4" t="n">
        <v>55415.71</v>
      </c>
      <c r="W113" s="4" t="n">
        <v>269539</v>
      </c>
      <c r="X113" s="0" t="n">
        <v>39.38</v>
      </c>
      <c r="Y113" s="5" t="n">
        <f aca="false">V113-L113</f>
        <v>53530.71</v>
      </c>
      <c r="Z113" s="6" t="n">
        <f aca="false">Y113/L113</f>
        <v>28.3982546419098</v>
      </c>
      <c r="AA113" s="3" t="n">
        <f aca="false">X113-P113</f>
        <v>35.89</v>
      </c>
      <c r="AB113" s="6" t="n">
        <f aca="false">AA113/P113</f>
        <v>10.2836676217765</v>
      </c>
    </row>
    <row r="114" customFormat="false" ht="12.75" hidden="false" customHeight="false" outlineLevel="0" collapsed="false">
      <c r="A114" s="0" t="s">
        <v>155</v>
      </c>
      <c r="B114" s="0" t="n">
        <v>2</v>
      </c>
      <c r="C114" s="0" t="s">
        <v>31</v>
      </c>
      <c r="D114" s="0" t="s">
        <v>31</v>
      </c>
      <c r="E114" s="0" t="n">
        <v>2333</v>
      </c>
      <c r="F114" s="0" t="n">
        <v>1753</v>
      </c>
      <c r="G114" s="0" t="n">
        <v>10</v>
      </c>
      <c r="H114" s="0" t="n">
        <v>3</v>
      </c>
      <c r="I114" s="0" t="n">
        <v>3</v>
      </c>
      <c r="J114" s="0" t="n">
        <v>12</v>
      </c>
      <c r="K114" s="0" t="n">
        <v>0.7</v>
      </c>
      <c r="L114" s="1" t="n">
        <v>1753</v>
      </c>
      <c r="M114" s="0" t="n">
        <v>0</v>
      </c>
      <c r="N114" s="0" t="n">
        <v>1753</v>
      </c>
      <c r="O114" s="0" t="n">
        <v>336760</v>
      </c>
      <c r="P114" s="1" t="n">
        <v>3.5</v>
      </c>
      <c r="Q114" s="0" t="n">
        <v>0</v>
      </c>
      <c r="R114" s="0" t="n">
        <v>1</v>
      </c>
      <c r="S114" s="0" t="s">
        <v>42</v>
      </c>
      <c r="T114" s="0" t="str">
        <f aca="false">IF(L114="inf","False","True")</f>
        <v>True</v>
      </c>
      <c r="U114" s="0" t="str">
        <f aca="false">IF(V114="inf","False","True")</f>
        <v>True</v>
      </c>
      <c r="V114" s="4" t="n">
        <v>816935.2</v>
      </c>
      <c r="W114" s="4" t="n">
        <v>254833.9</v>
      </c>
      <c r="X114" s="0" t="n">
        <v>7.43</v>
      </c>
      <c r="Y114" s="5" t="n">
        <f aca="false">V114-L114</f>
        <v>815182.2</v>
      </c>
      <c r="Z114" s="6" t="n">
        <f aca="false">Y114/L114</f>
        <v>465.021220764404</v>
      </c>
      <c r="AA114" s="3" t="n">
        <f aca="false">X114-P114</f>
        <v>3.93</v>
      </c>
      <c r="AB114" s="6" t="n">
        <f aca="false">AA114/P114</f>
        <v>1.12285714285714</v>
      </c>
    </row>
    <row r="115" customFormat="false" ht="12.75" hidden="false" customHeight="false" outlineLevel="0" collapsed="false">
      <c r="A115" s="0" t="s">
        <v>156</v>
      </c>
      <c r="B115" s="0" t="n">
        <v>3</v>
      </c>
      <c r="C115" s="0" t="s">
        <v>31</v>
      </c>
      <c r="D115" s="0" t="s">
        <v>31</v>
      </c>
      <c r="E115" s="0" t="n">
        <v>2333</v>
      </c>
      <c r="F115" s="0" t="n">
        <v>1756</v>
      </c>
      <c r="G115" s="0" t="n">
        <v>10</v>
      </c>
      <c r="H115" s="0" t="n">
        <v>3</v>
      </c>
      <c r="I115" s="0" t="n">
        <v>3</v>
      </c>
      <c r="J115" s="0" t="n">
        <v>12</v>
      </c>
      <c r="K115" s="0" t="n">
        <v>0.7</v>
      </c>
      <c r="L115" s="1" t="n">
        <v>1756</v>
      </c>
      <c r="M115" s="0" t="n">
        <v>0</v>
      </c>
      <c r="N115" s="0" t="n">
        <v>1756</v>
      </c>
      <c r="O115" s="0" t="n">
        <v>271643</v>
      </c>
      <c r="P115" s="1" t="n">
        <v>3.55</v>
      </c>
      <c r="Q115" s="0" t="n">
        <v>0</v>
      </c>
      <c r="R115" s="0" t="n">
        <v>1</v>
      </c>
      <c r="S115" s="0" t="s">
        <v>42</v>
      </c>
      <c r="T115" s="0" t="str">
        <f aca="false">IF(L115="inf","False","True")</f>
        <v>True</v>
      </c>
      <c r="U115" s="0" t="str">
        <f aca="false">IF(V115="inf","False","True")</f>
        <v>True</v>
      </c>
      <c r="V115" s="4" t="n">
        <v>847640.7</v>
      </c>
      <c r="W115" s="4" t="n">
        <v>242135.76</v>
      </c>
      <c r="X115" s="0" t="n">
        <v>9.4</v>
      </c>
      <c r="Y115" s="5" t="n">
        <f aca="false">V115-L115</f>
        <v>845884.7</v>
      </c>
      <c r="Z115" s="6" t="n">
        <f aca="false">Y115/L115</f>
        <v>481.711104783599</v>
      </c>
      <c r="AA115" s="3" t="n">
        <f aca="false">X115-P115</f>
        <v>5.85</v>
      </c>
      <c r="AB115" s="6" t="n">
        <f aca="false">AA115/P115</f>
        <v>1.64788732394366</v>
      </c>
    </row>
    <row r="116" customFormat="false" ht="12.75" hidden="false" customHeight="false" outlineLevel="0" collapsed="false">
      <c r="A116" s="0" t="s">
        <v>157</v>
      </c>
      <c r="B116" s="0" t="n">
        <v>4</v>
      </c>
      <c r="C116" s="0" t="s">
        <v>31</v>
      </c>
      <c r="D116" s="0" t="s">
        <v>31</v>
      </c>
      <c r="E116" s="0" t="n">
        <v>2333</v>
      </c>
      <c r="F116" s="0" t="n">
        <v>1919</v>
      </c>
      <c r="G116" s="0" t="n">
        <v>10</v>
      </c>
      <c r="H116" s="0" t="n">
        <v>3</v>
      </c>
      <c r="I116" s="0" t="n">
        <v>3</v>
      </c>
      <c r="J116" s="0" t="n">
        <v>12</v>
      </c>
      <c r="K116" s="0" t="n">
        <v>0.7</v>
      </c>
      <c r="L116" s="1" t="n">
        <v>1919</v>
      </c>
      <c r="M116" s="0" t="n">
        <v>0</v>
      </c>
      <c r="N116" s="0" t="n">
        <v>1919</v>
      </c>
      <c r="O116" s="0" t="n">
        <v>279944</v>
      </c>
      <c r="P116" s="1" t="n">
        <v>3.57</v>
      </c>
      <c r="Q116" s="0" t="n">
        <v>0</v>
      </c>
      <c r="R116" s="0" t="n">
        <v>1</v>
      </c>
      <c r="S116" s="0" t="s">
        <v>42</v>
      </c>
      <c r="T116" s="0" t="str">
        <f aca="false">IF(L116="inf","False","True")</f>
        <v>True</v>
      </c>
      <c r="U116" s="0" t="str">
        <f aca="false">IF(V116="inf","False","True")</f>
        <v>True</v>
      </c>
      <c r="V116" s="4" t="n">
        <v>240492.18</v>
      </c>
      <c r="W116" s="4" t="n">
        <v>259658.01</v>
      </c>
      <c r="X116" s="0" t="n">
        <v>11.58</v>
      </c>
      <c r="Y116" s="5" t="n">
        <f aca="false">V116-L116</f>
        <v>238573.18</v>
      </c>
      <c r="Z116" s="6" t="n">
        <f aca="false">Y116/L116</f>
        <v>124.3216154247</v>
      </c>
      <c r="AA116" s="3" t="n">
        <f aca="false">X116-P116</f>
        <v>8.01</v>
      </c>
      <c r="AB116" s="6" t="n">
        <f aca="false">AA116/P116</f>
        <v>2.2436974789916</v>
      </c>
    </row>
    <row r="117" customFormat="false" ht="12.75" hidden="false" customHeight="false" outlineLevel="0" collapsed="false">
      <c r="A117" s="0" t="s">
        <v>158</v>
      </c>
      <c r="B117" s="0" t="n">
        <v>0</v>
      </c>
      <c r="C117" s="0" t="s">
        <v>31</v>
      </c>
      <c r="D117" s="0" t="s">
        <v>31</v>
      </c>
      <c r="E117" s="0" t="n">
        <v>3333</v>
      </c>
      <c r="F117" s="0" t="n">
        <v>2534</v>
      </c>
      <c r="G117" s="0" t="n">
        <v>10</v>
      </c>
      <c r="H117" s="0" t="n">
        <v>3</v>
      </c>
      <c r="I117" s="0" t="n">
        <v>3</v>
      </c>
      <c r="J117" s="0" t="n">
        <v>12</v>
      </c>
      <c r="K117" s="0" t="n">
        <v>0.7</v>
      </c>
      <c r="L117" s="1" t="n">
        <v>2534</v>
      </c>
      <c r="M117" s="0" t="n">
        <v>0</v>
      </c>
      <c r="N117" s="0" t="n">
        <v>2534</v>
      </c>
      <c r="O117" s="0" t="n">
        <v>457259</v>
      </c>
      <c r="P117" s="1" t="n">
        <v>3.62</v>
      </c>
      <c r="Q117" s="0" t="n">
        <v>0</v>
      </c>
      <c r="R117" s="0" t="n">
        <v>1</v>
      </c>
      <c r="S117" s="0" t="s">
        <v>42</v>
      </c>
      <c r="T117" s="0" t="str">
        <f aca="false">IF(L117="inf","False","True")</f>
        <v>True</v>
      </c>
      <c r="U117" s="0" t="str">
        <f aca="false">IF(V117="inf","False","True")</f>
        <v>True</v>
      </c>
      <c r="V117" s="4" t="n">
        <v>1248543.24</v>
      </c>
      <c r="W117" s="4" t="n">
        <v>396067.52</v>
      </c>
      <c r="X117" s="0" t="n">
        <v>75.04</v>
      </c>
      <c r="Y117" s="5" t="n">
        <f aca="false">V117-L117</f>
        <v>1246009.24</v>
      </c>
      <c r="Z117" s="6" t="n">
        <f aca="false">Y117/L117</f>
        <v>491.71635359116</v>
      </c>
      <c r="AA117" s="3" t="n">
        <f aca="false">X117-P117</f>
        <v>71.42</v>
      </c>
      <c r="AB117" s="6" t="n">
        <f aca="false">AA117/P117</f>
        <v>19.7292817679558</v>
      </c>
    </row>
    <row r="118" customFormat="false" ht="12.75" hidden="false" customHeight="false" outlineLevel="0" collapsed="false">
      <c r="A118" s="0" t="s">
        <v>159</v>
      </c>
      <c r="B118" s="0" t="n">
        <v>1</v>
      </c>
      <c r="C118" s="0" t="s">
        <v>31</v>
      </c>
      <c r="D118" s="0" t="s">
        <v>31</v>
      </c>
      <c r="E118" s="0" t="n">
        <v>3333</v>
      </c>
      <c r="F118" s="0" t="n">
        <v>2694</v>
      </c>
      <c r="G118" s="0" t="n">
        <v>10</v>
      </c>
      <c r="H118" s="0" t="n">
        <v>3</v>
      </c>
      <c r="I118" s="0" t="n">
        <v>3</v>
      </c>
      <c r="J118" s="0" t="n">
        <v>12</v>
      </c>
      <c r="K118" s="0" t="n">
        <v>0.7</v>
      </c>
      <c r="L118" s="1" t="n">
        <v>2694</v>
      </c>
      <c r="M118" s="0" t="n">
        <v>0</v>
      </c>
      <c r="N118" s="0" t="n">
        <v>2694</v>
      </c>
      <c r="O118" s="0" t="n">
        <v>393676</v>
      </c>
      <c r="P118" s="1" t="n">
        <v>3.55</v>
      </c>
      <c r="Q118" s="0" t="n">
        <v>0</v>
      </c>
      <c r="R118" s="0" t="n">
        <v>1</v>
      </c>
      <c r="S118" s="0" t="s">
        <v>42</v>
      </c>
      <c r="T118" s="0" t="str">
        <f aca="false">IF(L118="inf","False","True")</f>
        <v>True</v>
      </c>
      <c r="U118" s="0" t="str">
        <f aca="false">IF(V118="inf","False","True")</f>
        <v>True</v>
      </c>
      <c r="V118" s="4" t="n">
        <v>543226.6</v>
      </c>
      <c r="W118" s="4" t="n">
        <v>375722.06</v>
      </c>
      <c r="X118" s="0" t="n">
        <v>26.46</v>
      </c>
      <c r="Y118" s="5" t="n">
        <f aca="false">V118-L118</f>
        <v>540532.6</v>
      </c>
      <c r="Z118" s="6" t="n">
        <f aca="false">Y118/L118</f>
        <v>200.643132887899</v>
      </c>
      <c r="AA118" s="3" t="n">
        <f aca="false">X118-P118</f>
        <v>22.91</v>
      </c>
      <c r="AB118" s="6" t="n">
        <f aca="false">AA118/P118</f>
        <v>6.45352112676056</v>
      </c>
    </row>
    <row r="119" customFormat="false" ht="12.75" hidden="false" customHeight="false" outlineLevel="0" collapsed="false">
      <c r="A119" s="0" t="s">
        <v>160</v>
      </c>
      <c r="B119" s="0" t="n">
        <v>2</v>
      </c>
      <c r="C119" s="0" t="s">
        <v>31</v>
      </c>
      <c r="D119" s="0" t="s">
        <v>31</v>
      </c>
      <c r="E119" s="0" t="n">
        <v>3333</v>
      </c>
      <c r="F119" s="0" t="n">
        <v>2505</v>
      </c>
      <c r="G119" s="0" t="n">
        <v>10</v>
      </c>
      <c r="H119" s="0" t="n">
        <v>3</v>
      </c>
      <c r="I119" s="0" t="n">
        <v>3</v>
      </c>
      <c r="J119" s="0" t="n">
        <v>12</v>
      </c>
      <c r="K119" s="0" t="n">
        <v>0.7</v>
      </c>
      <c r="L119" s="1" t="n">
        <v>2505</v>
      </c>
      <c r="M119" s="0" t="n">
        <v>0</v>
      </c>
      <c r="N119" s="0" t="n">
        <v>2505</v>
      </c>
      <c r="O119" s="0" t="n">
        <v>481112</v>
      </c>
      <c r="P119" s="1" t="n">
        <v>3.52</v>
      </c>
      <c r="Q119" s="0" t="n">
        <v>0</v>
      </c>
      <c r="R119" s="0" t="n">
        <v>1</v>
      </c>
      <c r="S119" s="0" t="s">
        <v>42</v>
      </c>
      <c r="T119" s="0" t="str">
        <f aca="false">IF(L119="inf","False","True")</f>
        <v>True</v>
      </c>
      <c r="U119" s="0" t="str">
        <f aca="false">IF(V119="inf","False","True")</f>
        <v>True</v>
      </c>
      <c r="V119" s="4" t="n">
        <v>635313.58</v>
      </c>
      <c r="W119" s="4" t="n">
        <v>398640.16</v>
      </c>
      <c r="X119" s="0" t="n">
        <v>13.19</v>
      </c>
      <c r="Y119" s="5" t="n">
        <f aca="false">V119-L119</f>
        <v>632808.58</v>
      </c>
      <c r="Z119" s="6" t="n">
        <f aca="false">Y119/L119</f>
        <v>252.618195608782</v>
      </c>
      <c r="AA119" s="3" t="n">
        <f aca="false">X119-P119</f>
        <v>9.67</v>
      </c>
      <c r="AB119" s="6" t="n">
        <f aca="false">AA119/P119</f>
        <v>2.74715909090909</v>
      </c>
    </row>
    <row r="120" customFormat="false" ht="12.75" hidden="false" customHeight="false" outlineLevel="0" collapsed="false">
      <c r="A120" s="0" t="s">
        <v>161</v>
      </c>
      <c r="B120" s="0" t="n">
        <v>3</v>
      </c>
      <c r="C120" s="0" t="s">
        <v>31</v>
      </c>
      <c r="D120" s="0" t="s">
        <v>31</v>
      </c>
      <c r="E120" s="0" t="n">
        <v>3333</v>
      </c>
      <c r="F120" s="0" t="n">
        <v>2510</v>
      </c>
      <c r="G120" s="0" t="n">
        <v>10</v>
      </c>
      <c r="H120" s="0" t="n">
        <v>3</v>
      </c>
      <c r="I120" s="0" t="n">
        <v>3</v>
      </c>
      <c r="J120" s="0" t="n">
        <v>12</v>
      </c>
      <c r="K120" s="0" t="n">
        <v>0.7</v>
      </c>
      <c r="L120" s="1" t="n">
        <v>2510</v>
      </c>
      <c r="M120" s="0" t="n">
        <v>0</v>
      </c>
      <c r="N120" s="0" t="n">
        <v>2510</v>
      </c>
      <c r="O120" s="0" t="n">
        <v>388105</v>
      </c>
      <c r="P120" s="1" t="n">
        <v>3.53</v>
      </c>
      <c r="Q120" s="0" t="n">
        <v>0</v>
      </c>
      <c r="R120" s="0" t="n">
        <v>1</v>
      </c>
      <c r="S120" s="0" t="s">
        <v>42</v>
      </c>
      <c r="T120" s="0" t="str">
        <f aca="false">IF(L120="inf","False","True")</f>
        <v>True</v>
      </c>
      <c r="U120" s="0" t="str">
        <f aca="false">IF(V120="inf","False","True")</f>
        <v>True</v>
      </c>
      <c r="V120" s="4" t="n">
        <v>1123176.45</v>
      </c>
      <c r="W120" s="4" t="n">
        <v>347652.4</v>
      </c>
      <c r="X120" s="0" t="n">
        <v>6.31</v>
      </c>
      <c r="Y120" s="5" t="n">
        <f aca="false">V120-L120</f>
        <v>1120666.45</v>
      </c>
      <c r="Z120" s="6" t="n">
        <f aca="false">Y120/L120</f>
        <v>446.480657370518</v>
      </c>
      <c r="AA120" s="3" t="n">
        <f aca="false">X120-P120</f>
        <v>2.78</v>
      </c>
      <c r="AB120" s="6" t="n">
        <f aca="false">AA120/P120</f>
        <v>0.787535410764873</v>
      </c>
    </row>
    <row r="121" customFormat="false" ht="12.75" hidden="false" customHeight="false" outlineLevel="0" collapsed="false">
      <c r="A121" s="0" t="s">
        <v>162</v>
      </c>
      <c r="B121" s="0" t="n">
        <v>4</v>
      </c>
      <c r="C121" s="0" t="s">
        <v>31</v>
      </c>
      <c r="D121" s="0" t="s">
        <v>31</v>
      </c>
      <c r="E121" s="0" t="n">
        <v>3333</v>
      </c>
      <c r="F121" s="0" t="n">
        <v>2743</v>
      </c>
      <c r="G121" s="0" t="n">
        <v>10</v>
      </c>
      <c r="H121" s="0" t="n">
        <v>3</v>
      </c>
      <c r="I121" s="0" t="n">
        <v>3</v>
      </c>
      <c r="J121" s="0" t="n">
        <v>12</v>
      </c>
      <c r="K121" s="0" t="n">
        <v>0.7</v>
      </c>
      <c r="L121" s="1" t="n">
        <v>2743</v>
      </c>
      <c r="M121" s="0" t="n">
        <v>0</v>
      </c>
      <c r="N121" s="0" t="n">
        <v>2743</v>
      </c>
      <c r="O121" s="0" t="n">
        <v>399943</v>
      </c>
      <c r="P121" s="1" t="n">
        <v>4.26</v>
      </c>
      <c r="Q121" s="0" t="n">
        <v>0</v>
      </c>
      <c r="R121" s="0" t="n">
        <v>27</v>
      </c>
      <c r="S121" s="0" t="s">
        <v>42</v>
      </c>
      <c r="T121" s="0" t="str">
        <f aca="false">IF(L121="inf","False","True")</f>
        <v>True</v>
      </c>
      <c r="U121" s="0" t="str">
        <f aca="false">IF(V121="inf","False","True")</f>
        <v>True</v>
      </c>
      <c r="V121" s="4" t="n">
        <v>801760.51</v>
      </c>
      <c r="W121" s="4" t="n">
        <v>357820.16</v>
      </c>
      <c r="X121" s="0" t="n">
        <v>22.75</v>
      </c>
      <c r="Y121" s="5" t="n">
        <f aca="false">V121-L121</f>
        <v>799017.51</v>
      </c>
      <c r="Z121" s="6" t="n">
        <f aca="false">Y121/L121</f>
        <v>291.293295661684</v>
      </c>
      <c r="AA121" s="3" t="n">
        <f aca="false">X121-P121</f>
        <v>18.49</v>
      </c>
      <c r="AB121" s="6" t="n">
        <f aca="false">AA121/P121</f>
        <v>4.34037558685446</v>
      </c>
    </row>
    <row r="122" customFormat="false" ht="12.75" hidden="false" customHeight="false" outlineLevel="0" collapsed="false">
      <c r="A122" s="0" t="s">
        <v>163</v>
      </c>
      <c r="B122" s="0" t="n">
        <v>0</v>
      </c>
      <c r="C122" s="0" t="s">
        <v>31</v>
      </c>
      <c r="D122" s="0" t="s">
        <v>31</v>
      </c>
      <c r="E122" s="0" t="n">
        <v>1000</v>
      </c>
      <c r="F122" s="0" t="n">
        <v>387</v>
      </c>
      <c r="G122" s="0" t="n">
        <v>15</v>
      </c>
      <c r="H122" s="0" t="n">
        <v>3</v>
      </c>
      <c r="I122" s="0" t="n">
        <v>3</v>
      </c>
      <c r="J122" s="0" t="n">
        <v>4</v>
      </c>
      <c r="K122" s="0" t="n">
        <v>0.7</v>
      </c>
      <c r="L122" s="1" t="n">
        <v>387</v>
      </c>
      <c r="M122" s="0" t="n">
        <v>0</v>
      </c>
      <c r="N122" s="0" t="n">
        <v>387</v>
      </c>
      <c r="O122" s="0" t="n">
        <v>173575</v>
      </c>
      <c r="P122" s="1" t="n">
        <v>2.95</v>
      </c>
      <c r="Q122" s="0" t="n">
        <v>0</v>
      </c>
      <c r="R122" s="0" t="n">
        <v>1</v>
      </c>
      <c r="S122" s="0" t="s">
        <v>42</v>
      </c>
      <c r="T122" s="0" t="str">
        <f aca="false">IF(L122="inf","False","True")</f>
        <v>True</v>
      </c>
      <c r="U122" s="0" t="str">
        <f aca="false">IF(V122="inf","False","True")</f>
        <v>True</v>
      </c>
      <c r="V122" s="4" t="n">
        <v>341.41</v>
      </c>
      <c r="W122" s="4" t="n">
        <v>173575</v>
      </c>
      <c r="X122" s="0" t="n">
        <v>1.87</v>
      </c>
      <c r="Y122" s="5" t="n">
        <f aca="false">V122-L122</f>
        <v>-45.59</v>
      </c>
      <c r="Z122" s="6" t="n">
        <f aca="false">Y122/L122</f>
        <v>-0.117803617571059</v>
      </c>
      <c r="AA122" s="3" t="n">
        <f aca="false">X122-P122</f>
        <v>-1.08</v>
      </c>
      <c r="AB122" s="6" t="n">
        <f aca="false">AA122/P122</f>
        <v>-0.366101694915254</v>
      </c>
    </row>
    <row r="123" customFormat="false" ht="12.75" hidden="false" customHeight="false" outlineLevel="0" collapsed="false">
      <c r="A123" s="0" t="s">
        <v>164</v>
      </c>
      <c r="B123" s="0" t="n">
        <v>1</v>
      </c>
      <c r="C123" s="0" t="s">
        <v>31</v>
      </c>
      <c r="D123" s="0" t="s">
        <v>31</v>
      </c>
      <c r="E123" s="0" t="n">
        <v>1000</v>
      </c>
      <c r="F123" s="0" t="n">
        <v>461</v>
      </c>
      <c r="G123" s="0" t="n">
        <v>15</v>
      </c>
      <c r="H123" s="0" t="n">
        <v>3</v>
      </c>
      <c r="I123" s="0" t="n">
        <v>3</v>
      </c>
      <c r="J123" s="0" t="n">
        <v>4</v>
      </c>
      <c r="K123" s="0" t="n">
        <v>0.7</v>
      </c>
      <c r="L123" s="1" t="n">
        <v>431407.5</v>
      </c>
      <c r="M123" s="0" t="n">
        <v>430948.83</v>
      </c>
      <c r="N123" s="0" t="n">
        <v>458.67</v>
      </c>
      <c r="O123" s="0" t="n">
        <v>153569.91</v>
      </c>
      <c r="P123" s="1" t="n">
        <v>6.39</v>
      </c>
      <c r="Q123" s="0" t="n">
        <v>0</v>
      </c>
      <c r="R123" s="0" t="n">
        <v>19</v>
      </c>
      <c r="S123" s="0" t="s">
        <v>32</v>
      </c>
      <c r="T123" s="0" t="str">
        <f aca="false">IF(L123="inf","False","True")</f>
        <v>True</v>
      </c>
      <c r="U123" s="0" t="str">
        <f aca="false">IF(V123="inf","False","True")</f>
        <v>False</v>
      </c>
      <c r="V123" s="4" t="s">
        <v>37</v>
      </c>
      <c r="W123" s="4" t="s">
        <v>37</v>
      </c>
      <c r="X123" s="0" t="n">
        <v>7.79</v>
      </c>
      <c r="Y123" s="5" t="e">
        <f aca="false">V123-L123</f>
        <v>#VALUE!</v>
      </c>
      <c r="Z123" s="6" t="e">
        <f aca="false">Y123/L123</f>
        <v>#VALUE!</v>
      </c>
      <c r="AA123" s="3" t="n">
        <f aca="false">X123-P123</f>
        <v>1.4</v>
      </c>
      <c r="AB123" s="6" t="n">
        <f aca="false">AA123/P123</f>
        <v>0.219092331768388</v>
      </c>
    </row>
    <row r="124" customFormat="false" ht="12.75" hidden="false" customHeight="false" outlineLevel="0" collapsed="false">
      <c r="A124" s="0" t="s">
        <v>165</v>
      </c>
      <c r="B124" s="0" t="n">
        <v>2</v>
      </c>
      <c r="C124" s="0" t="s">
        <v>31</v>
      </c>
      <c r="D124" s="0" t="s">
        <v>31</v>
      </c>
      <c r="E124" s="0" t="n">
        <v>1000</v>
      </c>
      <c r="F124" s="0" t="n">
        <v>453</v>
      </c>
      <c r="G124" s="0" t="n">
        <v>15</v>
      </c>
      <c r="H124" s="0" t="n">
        <v>3</v>
      </c>
      <c r="I124" s="0" t="n">
        <v>3</v>
      </c>
      <c r="J124" s="0" t="n">
        <v>4</v>
      </c>
      <c r="K124" s="0" t="n">
        <v>0.7</v>
      </c>
      <c r="L124" s="1" t="n">
        <v>363694.88</v>
      </c>
      <c r="M124" s="0" t="n">
        <v>363252.1</v>
      </c>
      <c r="N124" s="0" t="n">
        <v>442.78</v>
      </c>
      <c r="O124" s="0" t="n">
        <v>171779.93</v>
      </c>
      <c r="P124" s="1" t="n">
        <v>5.33</v>
      </c>
      <c r="Q124" s="0" t="n">
        <v>0</v>
      </c>
      <c r="R124" s="0" t="n">
        <v>24</v>
      </c>
      <c r="S124" s="0" t="s">
        <v>32</v>
      </c>
      <c r="T124" s="0" t="str">
        <f aca="false">IF(L124="inf","False","True")</f>
        <v>True</v>
      </c>
      <c r="U124" s="0" t="str">
        <f aca="false">IF(V124="inf","False","True")</f>
        <v>True</v>
      </c>
      <c r="V124" s="4" t="n">
        <v>268968.08</v>
      </c>
      <c r="W124" s="4" t="n">
        <v>175557.59</v>
      </c>
      <c r="X124" s="0" t="n">
        <v>0</v>
      </c>
      <c r="Y124" s="5" t="n">
        <f aca="false">V124-L124</f>
        <v>-94726.8</v>
      </c>
      <c r="Z124" s="6" t="n">
        <f aca="false">Y124/L124</f>
        <v>-0.260456787293789</v>
      </c>
      <c r="AA124" s="3" t="n">
        <f aca="false">X124-P124</f>
        <v>-5.33</v>
      </c>
      <c r="AB124" s="6" t="n">
        <f aca="false">AA124/P124</f>
        <v>-1</v>
      </c>
    </row>
    <row r="125" customFormat="false" ht="12.75" hidden="false" customHeight="false" outlineLevel="0" collapsed="false">
      <c r="A125" s="0" t="s">
        <v>166</v>
      </c>
      <c r="B125" s="0" t="n">
        <v>3</v>
      </c>
      <c r="C125" s="0" t="s">
        <v>31</v>
      </c>
      <c r="D125" s="0" t="s">
        <v>31</v>
      </c>
      <c r="E125" s="0" t="n">
        <v>1000</v>
      </c>
      <c r="F125" s="0" t="n">
        <v>397</v>
      </c>
      <c r="G125" s="0" t="n">
        <v>15</v>
      </c>
      <c r="H125" s="0" t="n">
        <v>3</v>
      </c>
      <c r="I125" s="0" t="n">
        <v>3</v>
      </c>
      <c r="J125" s="0" t="n">
        <v>4</v>
      </c>
      <c r="K125" s="0" t="n">
        <v>0.7</v>
      </c>
      <c r="L125" s="1" t="s">
        <v>37</v>
      </c>
      <c r="M125" s="0" t="s">
        <v>37</v>
      </c>
      <c r="N125" s="0" t="s">
        <v>37</v>
      </c>
      <c r="O125" s="0" t="s">
        <v>37</v>
      </c>
      <c r="P125" s="1" t="n">
        <v>3.49</v>
      </c>
      <c r="Q125" s="0" t="s">
        <v>37</v>
      </c>
      <c r="R125" s="0" t="n">
        <v>0</v>
      </c>
      <c r="S125" s="0" t="s">
        <v>167</v>
      </c>
      <c r="T125" s="0" t="str">
        <f aca="false">IF(L125="inf","False","True")</f>
        <v>False</v>
      </c>
      <c r="U125" s="0" t="str">
        <f aca="false">IF(V125="inf","False","True")</f>
        <v>True</v>
      </c>
      <c r="V125" s="4" t="n">
        <v>245744.07</v>
      </c>
      <c r="W125" s="4" t="n">
        <v>189873.54</v>
      </c>
      <c r="X125" s="0" t="n">
        <v>0.52</v>
      </c>
      <c r="Y125" s="5" t="e">
        <f aca="false">V125-L125</f>
        <v>#VALUE!</v>
      </c>
      <c r="Z125" s="6" t="e">
        <f aca="false">Y125/L125</f>
        <v>#VALUE!</v>
      </c>
      <c r="AA125" s="3" t="n">
        <f aca="false">X125-P125</f>
        <v>-2.97</v>
      </c>
      <c r="AB125" s="6" t="n">
        <f aca="false">AA125/P125</f>
        <v>-0.851002865329513</v>
      </c>
    </row>
    <row r="126" customFormat="false" ht="12.75" hidden="false" customHeight="false" outlineLevel="0" collapsed="false">
      <c r="A126" s="0" t="s">
        <v>168</v>
      </c>
      <c r="B126" s="0" t="n">
        <v>4</v>
      </c>
      <c r="C126" s="0" t="s">
        <v>31</v>
      </c>
      <c r="D126" s="0" t="s">
        <v>31</v>
      </c>
      <c r="E126" s="0" t="n">
        <v>1000</v>
      </c>
      <c r="F126" s="0" t="n">
        <v>467</v>
      </c>
      <c r="G126" s="0" t="n">
        <v>15</v>
      </c>
      <c r="H126" s="0" t="n">
        <v>3</v>
      </c>
      <c r="I126" s="0" t="n">
        <v>3</v>
      </c>
      <c r="J126" s="0" t="n">
        <v>4</v>
      </c>
      <c r="K126" s="0" t="n">
        <v>0.7</v>
      </c>
      <c r="L126" s="1" t="n">
        <v>340805.13</v>
      </c>
      <c r="M126" s="0" t="n">
        <v>340338.13</v>
      </c>
      <c r="N126" s="0" t="n">
        <v>467</v>
      </c>
      <c r="O126" s="0" t="n">
        <v>169261.36</v>
      </c>
      <c r="P126" s="1" t="n">
        <v>4.5</v>
      </c>
      <c r="Q126" s="0" t="n">
        <v>0</v>
      </c>
      <c r="R126" s="0" t="n">
        <v>21</v>
      </c>
      <c r="S126" s="0" t="s">
        <v>32</v>
      </c>
      <c r="T126" s="0" t="str">
        <f aca="false">IF(L126="inf","False","True")</f>
        <v>True</v>
      </c>
      <c r="U126" s="0" t="str">
        <f aca="false">IF(V126="inf","False","True")</f>
        <v>False</v>
      </c>
      <c r="V126" s="4" t="s">
        <v>37</v>
      </c>
      <c r="W126" s="4" t="s">
        <v>37</v>
      </c>
      <c r="X126" s="0" t="n">
        <v>6.85</v>
      </c>
      <c r="Y126" s="5" t="e">
        <f aca="false">V126-L126</f>
        <v>#VALUE!</v>
      </c>
      <c r="Z126" s="6" t="e">
        <f aca="false">Y126/L126</f>
        <v>#VALUE!</v>
      </c>
      <c r="AA126" s="3" t="n">
        <f aca="false">X126-P126</f>
        <v>2.35</v>
      </c>
      <c r="AB126" s="6" t="n">
        <f aca="false">AA126/P126</f>
        <v>0.522222222222222</v>
      </c>
    </row>
    <row r="127" customFormat="false" ht="12.75" hidden="false" customHeight="false" outlineLevel="0" collapsed="false">
      <c r="A127" s="0" t="s">
        <v>169</v>
      </c>
      <c r="B127" s="0" t="n">
        <v>0</v>
      </c>
      <c r="C127" s="0" t="s">
        <v>31</v>
      </c>
      <c r="D127" s="0" t="s">
        <v>31</v>
      </c>
      <c r="E127" s="0" t="n">
        <v>1666</v>
      </c>
      <c r="F127" s="0" t="n">
        <v>646</v>
      </c>
      <c r="G127" s="0" t="n">
        <v>15</v>
      </c>
      <c r="H127" s="0" t="n">
        <v>3</v>
      </c>
      <c r="I127" s="0" t="n">
        <v>3</v>
      </c>
      <c r="J127" s="0" t="n">
        <v>4</v>
      </c>
      <c r="K127" s="0" t="n">
        <v>0.7</v>
      </c>
      <c r="L127" s="1" t="n">
        <v>646</v>
      </c>
      <c r="M127" s="0" t="n">
        <v>0</v>
      </c>
      <c r="N127" s="0" t="n">
        <v>646</v>
      </c>
      <c r="O127" s="0" t="n">
        <v>289322</v>
      </c>
      <c r="P127" s="1" t="n">
        <v>3.07</v>
      </c>
      <c r="Q127" s="0" t="n">
        <v>0</v>
      </c>
      <c r="R127" s="0" t="n">
        <v>1</v>
      </c>
      <c r="S127" s="0" t="s">
        <v>42</v>
      </c>
      <c r="T127" s="0" t="str">
        <f aca="false">IF(L127="inf","False","True")</f>
        <v>True</v>
      </c>
      <c r="U127" s="0" t="str">
        <f aca="false">IF(V127="inf","False","True")</f>
        <v>False</v>
      </c>
      <c r="V127" s="4" t="s">
        <v>37</v>
      </c>
      <c r="W127" s="4" t="s">
        <v>37</v>
      </c>
      <c r="X127" s="0" t="n">
        <v>6.84</v>
      </c>
      <c r="Y127" s="5" t="e">
        <f aca="false">V127-L127</f>
        <v>#VALUE!</v>
      </c>
      <c r="Z127" s="6" t="e">
        <f aca="false">Y127/L127</f>
        <v>#VALUE!</v>
      </c>
      <c r="AA127" s="3" t="n">
        <f aca="false">X127-P127</f>
        <v>3.77</v>
      </c>
      <c r="AB127" s="6" t="n">
        <f aca="false">AA127/P127</f>
        <v>1.22801302931596</v>
      </c>
    </row>
    <row r="128" customFormat="false" ht="12.75" hidden="false" customHeight="false" outlineLevel="0" collapsed="false">
      <c r="A128" s="0" t="s">
        <v>170</v>
      </c>
      <c r="B128" s="0" t="n">
        <v>1</v>
      </c>
      <c r="C128" s="0" t="s">
        <v>31</v>
      </c>
      <c r="D128" s="0" t="s">
        <v>31</v>
      </c>
      <c r="E128" s="0" t="n">
        <v>1666</v>
      </c>
      <c r="F128" s="0" t="n">
        <v>769</v>
      </c>
      <c r="G128" s="0" t="n">
        <v>15</v>
      </c>
      <c r="H128" s="0" t="n">
        <v>3</v>
      </c>
      <c r="I128" s="0" t="n">
        <v>3</v>
      </c>
      <c r="J128" s="0" t="n">
        <v>4</v>
      </c>
      <c r="K128" s="0" t="n">
        <v>0.7</v>
      </c>
      <c r="L128" s="1" t="n">
        <v>723485.58</v>
      </c>
      <c r="M128" s="0" t="n">
        <v>722722.81</v>
      </c>
      <c r="N128" s="0" t="n">
        <v>762.77</v>
      </c>
      <c r="O128" s="0" t="n">
        <v>256042.66</v>
      </c>
      <c r="P128" s="1" t="n">
        <v>7.33</v>
      </c>
      <c r="Q128" s="0" t="n">
        <v>0</v>
      </c>
      <c r="R128" s="0" t="n">
        <v>6</v>
      </c>
      <c r="S128" s="0" t="s">
        <v>32</v>
      </c>
      <c r="T128" s="0" t="str">
        <f aca="false">IF(L128="inf","False","True")</f>
        <v>True</v>
      </c>
      <c r="U128" s="0" t="str">
        <f aca="false">IF(V128="inf","False","True")</f>
        <v>True</v>
      </c>
      <c r="V128" s="4" t="n">
        <v>655349.98</v>
      </c>
      <c r="W128" s="4" t="n">
        <v>267571.39</v>
      </c>
      <c r="X128" s="0" t="n">
        <v>4.02</v>
      </c>
      <c r="Y128" s="5" t="n">
        <f aca="false">V128-L128</f>
        <v>-68135.6</v>
      </c>
      <c r="Z128" s="6" t="n">
        <f aca="false">Y128/L128</f>
        <v>-0.0941768597516484</v>
      </c>
      <c r="AA128" s="3" t="n">
        <f aca="false">X128-P128</f>
        <v>-3.31</v>
      </c>
      <c r="AB128" s="6" t="n">
        <f aca="false">AA128/P128</f>
        <v>-0.451568894952251</v>
      </c>
    </row>
    <row r="129" customFormat="false" ht="12.75" hidden="false" customHeight="false" outlineLevel="0" collapsed="false">
      <c r="A129" s="0" t="s">
        <v>171</v>
      </c>
      <c r="B129" s="0" t="n">
        <v>2</v>
      </c>
      <c r="C129" s="0" t="s">
        <v>31</v>
      </c>
      <c r="D129" s="0" t="s">
        <v>31</v>
      </c>
      <c r="E129" s="0" t="n">
        <v>1666</v>
      </c>
      <c r="F129" s="0" t="n">
        <v>756</v>
      </c>
      <c r="G129" s="0" t="n">
        <v>15</v>
      </c>
      <c r="H129" s="0" t="n">
        <v>3</v>
      </c>
      <c r="I129" s="0" t="n">
        <v>3</v>
      </c>
      <c r="J129" s="0" t="n">
        <v>4</v>
      </c>
      <c r="K129" s="0" t="n">
        <v>0.7</v>
      </c>
      <c r="L129" s="1" t="n">
        <v>506976.95</v>
      </c>
      <c r="M129" s="0" t="n">
        <v>506222.4</v>
      </c>
      <c r="N129" s="0" t="n">
        <v>754.55</v>
      </c>
      <c r="O129" s="0" t="n">
        <v>286259.04</v>
      </c>
      <c r="P129" s="1" t="n">
        <v>5.77</v>
      </c>
      <c r="Q129" s="0" t="n">
        <v>0</v>
      </c>
      <c r="R129" s="0" t="n">
        <v>2</v>
      </c>
      <c r="S129" s="0" t="s">
        <v>32</v>
      </c>
      <c r="T129" s="0" t="str">
        <f aca="false">IF(L129="inf","False","True")</f>
        <v>True</v>
      </c>
      <c r="U129" s="0" t="str">
        <f aca="false">IF(V129="inf","False","True")</f>
        <v>False</v>
      </c>
      <c r="V129" s="4" t="s">
        <v>37</v>
      </c>
      <c r="W129" s="4" t="s">
        <v>37</v>
      </c>
      <c r="X129" s="0" t="n">
        <v>7.55</v>
      </c>
      <c r="Y129" s="5" t="e">
        <f aca="false">V129-L129</f>
        <v>#VALUE!</v>
      </c>
      <c r="Z129" s="6" t="e">
        <f aca="false">Y129/L129</f>
        <v>#VALUE!</v>
      </c>
      <c r="AA129" s="3" t="n">
        <f aca="false">X129-P129</f>
        <v>1.78</v>
      </c>
      <c r="AB129" s="6" t="n">
        <f aca="false">AA129/P129</f>
        <v>0.308492201039861</v>
      </c>
    </row>
    <row r="130" customFormat="false" ht="12.75" hidden="false" customHeight="false" outlineLevel="0" collapsed="false">
      <c r="A130" s="0" t="s">
        <v>172</v>
      </c>
      <c r="B130" s="0" t="n">
        <v>3</v>
      </c>
      <c r="C130" s="0" t="s">
        <v>31</v>
      </c>
      <c r="D130" s="0" t="s">
        <v>31</v>
      </c>
      <c r="E130" s="0" t="n">
        <v>1666</v>
      </c>
      <c r="F130" s="0" t="n">
        <v>664</v>
      </c>
      <c r="G130" s="0" t="n">
        <v>15</v>
      </c>
      <c r="H130" s="0" t="n">
        <v>3</v>
      </c>
      <c r="I130" s="0" t="n">
        <v>3</v>
      </c>
      <c r="J130" s="0" t="n">
        <v>4</v>
      </c>
      <c r="K130" s="0" t="n">
        <v>0.7</v>
      </c>
      <c r="L130" s="1" t="s">
        <v>37</v>
      </c>
      <c r="M130" s="0" t="s">
        <v>37</v>
      </c>
      <c r="N130" s="0" t="s">
        <v>37</v>
      </c>
      <c r="O130" s="0" t="s">
        <v>37</v>
      </c>
      <c r="P130" s="1" t="n">
        <v>3.53</v>
      </c>
      <c r="Q130" s="0" t="s">
        <v>37</v>
      </c>
      <c r="R130" s="0" t="n">
        <v>0</v>
      </c>
      <c r="S130" s="0" t="s">
        <v>167</v>
      </c>
      <c r="T130" s="0" t="str">
        <f aca="false">IF(L130="inf","False","True")</f>
        <v>False</v>
      </c>
      <c r="U130" s="0" t="str">
        <f aca="false">IF(V130="inf","False","True")</f>
        <v>False</v>
      </c>
      <c r="V130" s="4" t="s">
        <v>37</v>
      </c>
      <c r="W130" s="4" t="s">
        <v>37</v>
      </c>
      <c r="X130" s="0" t="n">
        <v>7.14</v>
      </c>
      <c r="Y130" s="5" t="e">
        <f aca="false">V130-L130</f>
        <v>#VALUE!</v>
      </c>
      <c r="Z130" s="6" t="e">
        <f aca="false">Y130/L130</f>
        <v>#VALUE!</v>
      </c>
      <c r="AA130" s="3" t="n">
        <f aca="false">X130-P130</f>
        <v>3.61</v>
      </c>
      <c r="AB130" s="6" t="n">
        <f aca="false">AA130/P130</f>
        <v>1.02266288951841</v>
      </c>
    </row>
    <row r="131" customFormat="false" ht="12.75" hidden="false" customHeight="false" outlineLevel="0" collapsed="false">
      <c r="A131" s="0" t="s">
        <v>173</v>
      </c>
      <c r="B131" s="0" t="n">
        <v>4</v>
      </c>
      <c r="C131" s="0" t="s">
        <v>31</v>
      </c>
      <c r="D131" s="0" t="s">
        <v>31</v>
      </c>
      <c r="E131" s="0" t="n">
        <v>1666</v>
      </c>
      <c r="F131" s="0" t="n">
        <v>779</v>
      </c>
      <c r="G131" s="0" t="n">
        <v>15</v>
      </c>
      <c r="H131" s="0" t="n">
        <v>3</v>
      </c>
      <c r="I131" s="0" t="n">
        <v>3</v>
      </c>
      <c r="J131" s="0" t="n">
        <v>4</v>
      </c>
      <c r="K131" s="0" t="n">
        <v>0.7</v>
      </c>
      <c r="L131" s="1" t="n">
        <v>568138.87</v>
      </c>
      <c r="M131" s="0" t="n">
        <v>567359.87</v>
      </c>
      <c r="N131" s="0" t="n">
        <v>779</v>
      </c>
      <c r="O131" s="0" t="n">
        <v>282119.64</v>
      </c>
      <c r="P131" s="1" t="n">
        <v>4.12</v>
      </c>
      <c r="Q131" s="0" t="n">
        <v>0</v>
      </c>
      <c r="R131" s="0" t="n">
        <v>2</v>
      </c>
      <c r="S131" s="0" t="s">
        <v>32</v>
      </c>
      <c r="T131" s="0" t="str">
        <f aca="false">IF(L131="inf","False","True")</f>
        <v>True</v>
      </c>
      <c r="U131" s="0" t="str">
        <f aca="false">IF(V131="inf","False","True")</f>
        <v>True</v>
      </c>
      <c r="V131" s="4" t="n">
        <v>240619.11</v>
      </c>
      <c r="W131" s="4" t="n">
        <v>295957.4</v>
      </c>
      <c r="X131" s="0" t="n">
        <v>3.25</v>
      </c>
      <c r="Y131" s="5" t="n">
        <f aca="false">V131-L131</f>
        <v>-327519.76</v>
      </c>
      <c r="Z131" s="6" t="n">
        <f aca="false">Y131/L131</f>
        <v>-0.576478352906922</v>
      </c>
      <c r="AA131" s="3" t="n">
        <f aca="false">X131-P131</f>
        <v>-0.87</v>
      </c>
      <c r="AB131" s="6" t="n">
        <f aca="false">AA131/P131</f>
        <v>-0.211165048543689</v>
      </c>
    </row>
    <row r="132" customFormat="false" ht="12.75" hidden="false" customHeight="false" outlineLevel="0" collapsed="false">
      <c r="A132" s="0" t="s">
        <v>174</v>
      </c>
      <c r="B132" s="0" t="n">
        <v>0</v>
      </c>
      <c r="C132" s="0" t="s">
        <v>31</v>
      </c>
      <c r="D132" s="0" t="s">
        <v>31</v>
      </c>
      <c r="E132" s="0" t="n">
        <v>2333</v>
      </c>
      <c r="F132" s="0" t="n">
        <v>906</v>
      </c>
      <c r="G132" s="0" t="n">
        <v>15</v>
      </c>
      <c r="H132" s="0" t="n">
        <v>3</v>
      </c>
      <c r="I132" s="0" t="n">
        <v>3</v>
      </c>
      <c r="J132" s="0" t="n">
        <v>4</v>
      </c>
      <c r="K132" s="0" t="n">
        <v>0.7</v>
      </c>
      <c r="L132" s="1" t="n">
        <v>906</v>
      </c>
      <c r="M132" s="0" t="n">
        <v>0</v>
      </c>
      <c r="N132" s="0" t="n">
        <v>906</v>
      </c>
      <c r="O132" s="0" t="n">
        <v>405016</v>
      </c>
      <c r="P132" s="1" t="n">
        <v>3</v>
      </c>
      <c r="Q132" s="0" t="n">
        <v>0</v>
      </c>
      <c r="R132" s="0" t="n">
        <v>1</v>
      </c>
      <c r="S132" s="0" t="s">
        <v>42</v>
      </c>
      <c r="T132" s="0" t="str">
        <f aca="false">IF(L132="inf","False","True")</f>
        <v>True</v>
      </c>
      <c r="U132" s="0" t="str">
        <f aca="false">IF(V132="inf","False","True")</f>
        <v>True</v>
      </c>
      <c r="V132" s="4" t="n">
        <v>766.21</v>
      </c>
      <c r="W132" s="4" t="n">
        <v>405016</v>
      </c>
      <c r="X132" s="0" t="n">
        <v>4.27</v>
      </c>
      <c r="Y132" s="5" t="n">
        <f aca="false">V132-L132</f>
        <v>-139.79</v>
      </c>
      <c r="Z132" s="6" t="n">
        <f aca="false">Y132/L132</f>
        <v>-0.154293598233996</v>
      </c>
      <c r="AA132" s="3" t="n">
        <f aca="false">X132-P132</f>
        <v>1.27</v>
      </c>
      <c r="AB132" s="6" t="n">
        <f aca="false">AA132/P132</f>
        <v>0.423333333333333</v>
      </c>
    </row>
    <row r="133" customFormat="false" ht="12.75" hidden="false" customHeight="false" outlineLevel="0" collapsed="false">
      <c r="A133" s="0" t="s">
        <v>175</v>
      </c>
      <c r="B133" s="0" t="n">
        <v>1</v>
      </c>
      <c r="C133" s="0" t="s">
        <v>31</v>
      </c>
      <c r="D133" s="0" t="s">
        <v>31</v>
      </c>
      <c r="E133" s="0" t="n">
        <v>2333</v>
      </c>
      <c r="F133" s="0" t="n">
        <v>1078</v>
      </c>
      <c r="G133" s="0" t="n">
        <v>15</v>
      </c>
      <c r="H133" s="0" t="n">
        <v>3</v>
      </c>
      <c r="I133" s="0" t="n">
        <v>3</v>
      </c>
      <c r="J133" s="0" t="n">
        <v>4</v>
      </c>
      <c r="K133" s="0" t="n">
        <v>0.7</v>
      </c>
      <c r="L133" s="1" t="n">
        <v>1018376.32</v>
      </c>
      <c r="M133" s="0" t="n">
        <v>1017325.38</v>
      </c>
      <c r="N133" s="0" t="n">
        <v>1050.94</v>
      </c>
      <c r="O133" s="0" t="n">
        <v>357748.86</v>
      </c>
      <c r="P133" s="1" t="n">
        <v>4.73</v>
      </c>
      <c r="Q133" s="0" t="n">
        <v>0</v>
      </c>
      <c r="R133" s="0" t="n">
        <v>2</v>
      </c>
      <c r="S133" s="0" t="s">
        <v>32</v>
      </c>
      <c r="T133" s="0" t="str">
        <f aca="false">IF(L133="inf","False","True")</f>
        <v>True</v>
      </c>
      <c r="U133" s="0" t="str">
        <f aca="false">IF(V133="inf","False","True")</f>
        <v>True</v>
      </c>
      <c r="V133" s="4" t="n">
        <v>643739.95</v>
      </c>
      <c r="W133" s="4" t="n">
        <v>391075.23</v>
      </c>
      <c r="X133" s="0" t="n">
        <v>6.81</v>
      </c>
      <c r="Y133" s="5" t="n">
        <f aca="false">V133-L133</f>
        <v>-374636.37</v>
      </c>
      <c r="Z133" s="6" t="n">
        <f aca="false">Y133/L133</f>
        <v>-0.367876159964128</v>
      </c>
      <c r="AA133" s="3" t="n">
        <f aca="false">X133-P133</f>
        <v>2.08</v>
      </c>
      <c r="AB133" s="6" t="n">
        <f aca="false">AA133/P133</f>
        <v>0.439746300211416</v>
      </c>
    </row>
    <row r="134" customFormat="false" ht="12.75" hidden="false" customHeight="false" outlineLevel="0" collapsed="false">
      <c r="A134" s="0" t="s">
        <v>176</v>
      </c>
      <c r="B134" s="0" t="n">
        <v>2</v>
      </c>
      <c r="C134" s="0" t="s">
        <v>31</v>
      </c>
      <c r="D134" s="0" t="s">
        <v>31</v>
      </c>
      <c r="E134" s="0" t="n">
        <v>2333</v>
      </c>
      <c r="F134" s="0" t="n">
        <v>1060</v>
      </c>
      <c r="G134" s="0" t="n">
        <v>15</v>
      </c>
      <c r="H134" s="0" t="n">
        <v>3</v>
      </c>
      <c r="I134" s="0" t="n">
        <v>3</v>
      </c>
      <c r="J134" s="0" t="n">
        <v>4</v>
      </c>
      <c r="K134" s="0" t="n">
        <v>0.7</v>
      </c>
      <c r="L134" s="1" t="n">
        <v>698197.8</v>
      </c>
      <c r="M134" s="0" t="n">
        <v>697137.8</v>
      </c>
      <c r="N134" s="0" t="n">
        <v>1060</v>
      </c>
      <c r="O134" s="0" t="n">
        <v>400799.67</v>
      </c>
      <c r="P134" s="1" t="n">
        <v>4.7</v>
      </c>
      <c r="Q134" s="0" t="n">
        <v>0</v>
      </c>
      <c r="R134" s="0" t="n">
        <v>29</v>
      </c>
      <c r="S134" s="0" t="s">
        <v>32</v>
      </c>
      <c r="T134" s="0" t="str">
        <f aca="false">IF(L134="inf","False","True")</f>
        <v>True</v>
      </c>
      <c r="U134" s="0" t="str">
        <f aca="false">IF(V134="inf","False","True")</f>
        <v>True</v>
      </c>
      <c r="V134" s="4" t="n">
        <v>775997.19</v>
      </c>
      <c r="W134" s="4" t="n">
        <v>404022.25</v>
      </c>
      <c r="X134" s="0" t="n">
        <v>1.13</v>
      </c>
      <c r="Y134" s="5" t="n">
        <f aca="false">V134-L134</f>
        <v>77799.3899999999</v>
      </c>
      <c r="Z134" s="6" t="n">
        <f aca="false">Y134/L134</f>
        <v>0.111428867292334</v>
      </c>
      <c r="AA134" s="3" t="n">
        <f aca="false">X134-P134</f>
        <v>-3.57</v>
      </c>
      <c r="AB134" s="6" t="n">
        <f aca="false">AA134/P134</f>
        <v>-0.759574468085106</v>
      </c>
    </row>
    <row r="135" customFormat="false" ht="12.75" hidden="false" customHeight="false" outlineLevel="0" collapsed="false">
      <c r="A135" s="0" t="s">
        <v>177</v>
      </c>
      <c r="B135" s="0" t="n">
        <v>3</v>
      </c>
      <c r="C135" s="0" t="s">
        <v>31</v>
      </c>
      <c r="D135" s="0" t="s">
        <v>31</v>
      </c>
      <c r="E135" s="0" t="n">
        <v>2333</v>
      </c>
      <c r="F135" s="0" t="n">
        <v>931</v>
      </c>
      <c r="G135" s="0" t="n">
        <v>15</v>
      </c>
      <c r="H135" s="0" t="n">
        <v>3</v>
      </c>
      <c r="I135" s="0" t="n">
        <v>3</v>
      </c>
      <c r="J135" s="0" t="n">
        <v>4</v>
      </c>
      <c r="K135" s="0" t="n">
        <v>0.7</v>
      </c>
      <c r="L135" s="1" t="s">
        <v>37</v>
      </c>
      <c r="M135" s="0" t="s">
        <v>37</v>
      </c>
      <c r="N135" s="0" t="s">
        <v>37</v>
      </c>
      <c r="O135" s="0" t="s">
        <v>37</v>
      </c>
      <c r="P135" s="1" t="n">
        <v>3.46</v>
      </c>
      <c r="Q135" s="0" t="s">
        <v>37</v>
      </c>
      <c r="R135" s="0" t="n">
        <v>0</v>
      </c>
      <c r="S135" s="0" t="s">
        <v>167</v>
      </c>
      <c r="T135" s="0" t="str">
        <f aca="false">IF(L135="inf","False","True")</f>
        <v>False</v>
      </c>
      <c r="U135" s="0" t="str">
        <f aca="false">IF(V135="inf","False","True")</f>
        <v>False</v>
      </c>
      <c r="V135" s="4" t="s">
        <v>37</v>
      </c>
      <c r="W135" s="4" t="s">
        <v>37</v>
      </c>
      <c r="X135" s="0" t="n">
        <v>7.1</v>
      </c>
      <c r="Y135" s="5" t="e">
        <f aca="false">V135-L135</f>
        <v>#VALUE!</v>
      </c>
      <c r="Z135" s="6" t="e">
        <f aca="false">Y135/L135</f>
        <v>#VALUE!</v>
      </c>
      <c r="AA135" s="3" t="n">
        <f aca="false">X135-P135</f>
        <v>3.64</v>
      </c>
      <c r="AB135" s="6" t="n">
        <f aca="false">AA135/P135</f>
        <v>1.05202312138728</v>
      </c>
    </row>
    <row r="136" customFormat="false" ht="12.75" hidden="false" customHeight="false" outlineLevel="0" collapsed="false">
      <c r="A136" s="0" t="s">
        <v>178</v>
      </c>
      <c r="B136" s="0" t="n">
        <v>4</v>
      </c>
      <c r="C136" s="0" t="s">
        <v>31</v>
      </c>
      <c r="D136" s="0" t="s">
        <v>31</v>
      </c>
      <c r="E136" s="0" t="n">
        <v>2333</v>
      </c>
      <c r="F136" s="0" t="n">
        <v>1093</v>
      </c>
      <c r="G136" s="0" t="n">
        <v>15</v>
      </c>
      <c r="H136" s="0" t="n">
        <v>3</v>
      </c>
      <c r="I136" s="0" t="n">
        <v>3</v>
      </c>
      <c r="J136" s="0" t="n">
        <v>4</v>
      </c>
      <c r="K136" s="0" t="n">
        <v>0.7</v>
      </c>
      <c r="L136" s="1" t="n">
        <v>795676.13</v>
      </c>
      <c r="M136" s="0" t="n">
        <v>794583.13</v>
      </c>
      <c r="N136" s="0" t="n">
        <v>1093</v>
      </c>
      <c r="O136" s="0" t="n">
        <v>394996.86</v>
      </c>
      <c r="P136" s="1" t="n">
        <v>5.37</v>
      </c>
      <c r="Q136" s="0" t="n">
        <v>0</v>
      </c>
      <c r="R136" s="0" t="n">
        <v>7</v>
      </c>
      <c r="S136" s="0" t="s">
        <v>32</v>
      </c>
      <c r="T136" s="0" t="str">
        <f aca="false">IF(L136="inf","False","True")</f>
        <v>True</v>
      </c>
      <c r="U136" s="0" t="str">
        <f aca="false">IF(V136="inf","False","True")</f>
        <v>False</v>
      </c>
      <c r="V136" s="4" t="s">
        <v>37</v>
      </c>
      <c r="W136" s="4" t="s">
        <v>37</v>
      </c>
      <c r="X136" s="0" t="n">
        <v>6.77</v>
      </c>
      <c r="Y136" s="5" t="e">
        <f aca="false">V136-L136</f>
        <v>#VALUE!</v>
      </c>
      <c r="Z136" s="6" t="e">
        <f aca="false">Y136/L136</f>
        <v>#VALUE!</v>
      </c>
      <c r="AA136" s="3" t="n">
        <f aca="false">X136-P136</f>
        <v>1.4</v>
      </c>
      <c r="AB136" s="6" t="n">
        <f aca="false">AA136/P136</f>
        <v>0.260707635009311</v>
      </c>
    </row>
    <row r="137" customFormat="false" ht="12.75" hidden="false" customHeight="false" outlineLevel="0" collapsed="false">
      <c r="A137" s="0" t="s">
        <v>179</v>
      </c>
      <c r="B137" s="0" t="n">
        <v>0</v>
      </c>
      <c r="C137" s="0" t="s">
        <v>31</v>
      </c>
      <c r="D137" s="0" t="s">
        <v>31</v>
      </c>
      <c r="E137" s="0" t="n">
        <v>3333</v>
      </c>
      <c r="F137" s="0" t="n">
        <v>1296</v>
      </c>
      <c r="G137" s="0" t="n">
        <v>15</v>
      </c>
      <c r="H137" s="0" t="n">
        <v>3</v>
      </c>
      <c r="I137" s="0" t="n">
        <v>3</v>
      </c>
      <c r="J137" s="0" t="n">
        <v>4</v>
      </c>
      <c r="K137" s="0" t="n">
        <v>0.7</v>
      </c>
      <c r="L137" s="1" t="n">
        <v>1296</v>
      </c>
      <c r="M137" s="0" t="n">
        <v>0</v>
      </c>
      <c r="N137" s="0" t="n">
        <v>1296</v>
      </c>
      <c r="O137" s="0" t="n">
        <v>578692</v>
      </c>
      <c r="P137" s="1" t="n">
        <v>2.64</v>
      </c>
      <c r="Q137" s="0" t="n">
        <v>0</v>
      </c>
      <c r="R137" s="0" t="n">
        <v>1</v>
      </c>
      <c r="S137" s="0" t="s">
        <v>42</v>
      </c>
      <c r="T137" s="0" t="str">
        <f aca="false">IF(L137="inf","False","True")</f>
        <v>True</v>
      </c>
      <c r="U137" s="0" t="str">
        <f aca="false">IF(V137="inf","False","True")</f>
        <v>True</v>
      </c>
      <c r="V137" s="4" t="n">
        <v>1220.2</v>
      </c>
      <c r="W137" s="4" t="n">
        <v>578692</v>
      </c>
      <c r="X137" s="0" t="n">
        <v>2.58</v>
      </c>
      <c r="Y137" s="5" t="n">
        <f aca="false">V137-L137</f>
        <v>-75.8</v>
      </c>
      <c r="Z137" s="6" t="n">
        <f aca="false">Y137/L137</f>
        <v>-0.0584876543209876</v>
      </c>
      <c r="AA137" s="3" t="n">
        <f aca="false">X137-P137</f>
        <v>-0.0600000000000001</v>
      </c>
      <c r="AB137" s="6" t="n">
        <f aca="false">AA137/P137</f>
        <v>-0.0227272727272727</v>
      </c>
    </row>
    <row r="138" customFormat="false" ht="12.75" hidden="false" customHeight="false" outlineLevel="0" collapsed="false">
      <c r="A138" s="0" t="s">
        <v>180</v>
      </c>
      <c r="B138" s="0" t="n">
        <v>1</v>
      </c>
      <c r="C138" s="0" t="s">
        <v>31</v>
      </c>
      <c r="D138" s="0" t="s">
        <v>31</v>
      </c>
      <c r="E138" s="0" t="n">
        <v>3333</v>
      </c>
      <c r="F138" s="0" t="n">
        <v>1542</v>
      </c>
      <c r="G138" s="0" t="n">
        <v>15</v>
      </c>
      <c r="H138" s="0" t="n">
        <v>3</v>
      </c>
      <c r="I138" s="0" t="n">
        <v>3</v>
      </c>
      <c r="J138" s="0" t="n">
        <v>4</v>
      </c>
      <c r="K138" s="0" t="n">
        <v>0.7</v>
      </c>
      <c r="L138" s="1" t="n">
        <v>1448245.21</v>
      </c>
      <c r="M138" s="0" t="n">
        <v>1446757.13</v>
      </c>
      <c r="N138" s="0" t="n">
        <v>1488.08</v>
      </c>
      <c r="O138" s="0" t="n">
        <v>512137.33</v>
      </c>
      <c r="P138" s="1" t="n">
        <v>7.48</v>
      </c>
      <c r="Q138" s="0" t="n">
        <v>0</v>
      </c>
      <c r="R138" s="0" t="n">
        <v>21</v>
      </c>
      <c r="S138" s="0" t="s">
        <v>32</v>
      </c>
      <c r="T138" s="0" t="str">
        <f aca="false">IF(L138="inf","False","True")</f>
        <v>True</v>
      </c>
      <c r="U138" s="0" t="str">
        <f aca="false">IF(V138="inf","False","True")</f>
        <v>True</v>
      </c>
      <c r="V138" s="4" t="n">
        <v>144584.56</v>
      </c>
      <c r="W138" s="4" t="n">
        <v>584210.48</v>
      </c>
      <c r="X138" s="0" t="n">
        <v>0.32</v>
      </c>
      <c r="Y138" s="5" t="n">
        <f aca="false">V138-L138</f>
        <v>-1303660.65</v>
      </c>
      <c r="Z138" s="6" t="n">
        <f aca="false">Y138/L138</f>
        <v>-0.900165690863911</v>
      </c>
      <c r="AA138" s="3" t="n">
        <f aca="false">X138-P138</f>
        <v>-7.16</v>
      </c>
      <c r="AB138" s="6" t="n">
        <f aca="false">AA138/P138</f>
        <v>-0.957219251336898</v>
      </c>
    </row>
    <row r="139" customFormat="false" ht="12.75" hidden="false" customHeight="false" outlineLevel="0" collapsed="false">
      <c r="A139" s="0" t="s">
        <v>181</v>
      </c>
      <c r="B139" s="0" t="n">
        <v>2</v>
      </c>
      <c r="C139" s="0" t="s">
        <v>31</v>
      </c>
      <c r="D139" s="0" t="s">
        <v>31</v>
      </c>
      <c r="E139" s="0" t="n">
        <v>3333</v>
      </c>
      <c r="F139" s="0" t="n">
        <v>1516</v>
      </c>
      <c r="G139" s="0" t="n">
        <v>15</v>
      </c>
      <c r="H139" s="0" t="n">
        <v>3</v>
      </c>
      <c r="I139" s="0" t="n">
        <v>3</v>
      </c>
      <c r="J139" s="0" t="n">
        <v>4</v>
      </c>
      <c r="K139" s="0" t="n">
        <v>0.7</v>
      </c>
      <c r="L139" s="1" t="n">
        <v>1101160.77</v>
      </c>
      <c r="M139" s="0" t="n">
        <v>1099684.8</v>
      </c>
      <c r="N139" s="0" t="n">
        <v>1475.97</v>
      </c>
      <c r="O139" s="0" t="n">
        <v>572634.09</v>
      </c>
      <c r="P139" s="1" t="n">
        <v>5.55</v>
      </c>
      <c r="Q139" s="0" t="n">
        <v>0</v>
      </c>
      <c r="R139" s="0" t="n">
        <v>4</v>
      </c>
      <c r="S139" s="0" t="s">
        <v>32</v>
      </c>
      <c r="T139" s="0" t="str">
        <f aca="false">IF(L139="inf","False","True")</f>
        <v>True</v>
      </c>
      <c r="U139" s="0" t="str">
        <f aca="false">IF(V139="inf","False","True")</f>
        <v>True</v>
      </c>
      <c r="V139" s="4" t="n">
        <v>894109.87</v>
      </c>
      <c r="W139" s="4" t="n">
        <v>578257.67</v>
      </c>
      <c r="X139" s="0" t="n">
        <v>5.81</v>
      </c>
      <c r="Y139" s="5" t="n">
        <f aca="false">V139-L139</f>
        <v>-207050.9</v>
      </c>
      <c r="Z139" s="6" t="n">
        <f aca="false">Y139/L139</f>
        <v>-0.188029673450862</v>
      </c>
      <c r="AA139" s="3" t="n">
        <f aca="false">X139-P139</f>
        <v>0.26</v>
      </c>
      <c r="AB139" s="6" t="n">
        <f aca="false">AA139/P139</f>
        <v>0.0468468468468468</v>
      </c>
    </row>
    <row r="140" customFormat="false" ht="12.75" hidden="false" customHeight="false" outlineLevel="0" collapsed="false">
      <c r="A140" s="0" t="s">
        <v>182</v>
      </c>
      <c r="B140" s="0" t="n">
        <v>3</v>
      </c>
      <c r="C140" s="0" t="s">
        <v>31</v>
      </c>
      <c r="D140" s="0" t="s">
        <v>31</v>
      </c>
      <c r="E140" s="0" t="n">
        <v>3333</v>
      </c>
      <c r="F140" s="0" t="n">
        <v>1333</v>
      </c>
      <c r="G140" s="0" t="n">
        <v>15</v>
      </c>
      <c r="H140" s="0" t="n">
        <v>3</v>
      </c>
      <c r="I140" s="0" t="n">
        <v>3</v>
      </c>
      <c r="J140" s="0" t="n">
        <v>4</v>
      </c>
      <c r="K140" s="0" t="n">
        <v>0.7</v>
      </c>
      <c r="L140" s="1" t="n">
        <v>966580.25</v>
      </c>
      <c r="M140" s="0" t="n">
        <v>965247.25</v>
      </c>
      <c r="N140" s="0" t="n">
        <v>1333</v>
      </c>
      <c r="O140" s="0" t="n">
        <v>619366.52</v>
      </c>
      <c r="P140" s="1" t="n">
        <v>3.63</v>
      </c>
      <c r="Q140" s="0" t="n">
        <v>0</v>
      </c>
      <c r="R140" s="0" t="n">
        <v>2</v>
      </c>
      <c r="S140" s="0" t="s">
        <v>32</v>
      </c>
      <c r="T140" s="0" t="str">
        <f aca="false">IF(L140="inf","False","True")</f>
        <v>True</v>
      </c>
      <c r="U140" s="0" t="str">
        <f aca="false">IF(V140="inf","False","True")</f>
        <v>False</v>
      </c>
      <c r="V140" s="4" t="s">
        <v>37</v>
      </c>
      <c r="W140" s="4" t="s">
        <v>37</v>
      </c>
      <c r="X140" s="0" t="n">
        <v>7.29</v>
      </c>
      <c r="Y140" s="5" t="e">
        <f aca="false">V140-L140</f>
        <v>#VALUE!</v>
      </c>
      <c r="Z140" s="6" t="e">
        <f aca="false">Y140/L140</f>
        <v>#VALUE!</v>
      </c>
      <c r="AA140" s="3" t="n">
        <f aca="false">X140-P140</f>
        <v>3.66</v>
      </c>
      <c r="AB140" s="6" t="n">
        <f aca="false">AA140/P140</f>
        <v>1.00826446280992</v>
      </c>
    </row>
    <row r="141" customFormat="false" ht="12.75" hidden="false" customHeight="false" outlineLevel="0" collapsed="false">
      <c r="A141" s="0" t="s">
        <v>183</v>
      </c>
      <c r="B141" s="0" t="n">
        <v>4</v>
      </c>
      <c r="C141" s="0" t="s">
        <v>31</v>
      </c>
      <c r="D141" s="0" t="s">
        <v>31</v>
      </c>
      <c r="E141" s="0" t="n">
        <v>3333</v>
      </c>
      <c r="F141" s="0" t="n">
        <v>1563</v>
      </c>
      <c r="G141" s="0" t="n">
        <v>15</v>
      </c>
      <c r="H141" s="0" t="n">
        <v>3</v>
      </c>
      <c r="I141" s="0" t="n">
        <v>3</v>
      </c>
      <c r="J141" s="0" t="n">
        <v>4</v>
      </c>
      <c r="K141" s="0" t="n">
        <v>0.7</v>
      </c>
      <c r="L141" s="1" t="n">
        <v>1136682.27</v>
      </c>
      <c r="M141" s="0" t="n">
        <v>1135119.27</v>
      </c>
      <c r="N141" s="0" t="n">
        <v>1563</v>
      </c>
      <c r="O141" s="0" t="n">
        <v>564344.22</v>
      </c>
      <c r="P141" s="1" t="n">
        <v>4.94</v>
      </c>
      <c r="Q141" s="0" t="n">
        <v>0</v>
      </c>
      <c r="R141" s="0" t="n">
        <v>30</v>
      </c>
      <c r="S141" s="0" t="s">
        <v>32</v>
      </c>
      <c r="T141" s="0" t="str">
        <f aca="false">IF(L141="inf","False","True")</f>
        <v>True</v>
      </c>
      <c r="U141" s="0" t="str">
        <f aca="false">IF(V141="inf","False","True")</f>
        <v>False</v>
      </c>
      <c r="V141" s="4" t="s">
        <v>37</v>
      </c>
      <c r="W141" s="4" t="s">
        <v>37</v>
      </c>
      <c r="X141" s="0" t="n">
        <v>6.71</v>
      </c>
      <c r="Y141" s="5" t="e">
        <f aca="false">V141-L141</f>
        <v>#VALUE!</v>
      </c>
      <c r="Z141" s="6" t="e">
        <f aca="false">Y141/L141</f>
        <v>#VALUE!</v>
      </c>
      <c r="AA141" s="3" t="n">
        <f aca="false">X141-P141</f>
        <v>1.77</v>
      </c>
      <c r="AB141" s="6" t="n">
        <f aca="false">AA141/P141</f>
        <v>0.3582995951417</v>
      </c>
    </row>
    <row r="142" customFormat="false" ht="12.75" hidden="false" customHeight="false" outlineLevel="0" collapsed="false">
      <c r="A142" s="0" t="s">
        <v>184</v>
      </c>
      <c r="B142" s="0" t="n">
        <v>0</v>
      </c>
      <c r="C142" s="0" t="s">
        <v>31</v>
      </c>
      <c r="D142" s="0" t="s">
        <v>31</v>
      </c>
      <c r="E142" s="0" t="n">
        <v>1000</v>
      </c>
      <c r="F142" s="0" t="n">
        <v>496</v>
      </c>
      <c r="G142" s="0" t="n">
        <v>15</v>
      </c>
      <c r="H142" s="0" t="n">
        <v>3</v>
      </c>
      <c r="I142" s="0" t="n">
        <v>3</v>
      </c>
      <c r="J142" s="0" t="n">
        <v>8</v>
      </c>
      <c r="K142" s="0" t="n">
        <v>0.7</v>
      </c>
      <c r="L142" s="1" t="n">
        <v>496</v>
      </c>
      <c r="M142" s="0" t="n">
        <v>0</v>
      </c>
      <c r="N142" s="0" t="n">
        <v>496</v>
      </c>
      <c r="O142" s="0" t="n">
        <v>175637</v>
      </c>
      <c r="P142" s="1" t="n">
        <v>3.89</v>
      </c>
      <c r="Q142" s="0" t="n">
        <v>0</v>
      </c>
      <c r="R142" s="0" t="n">
        <v>1</v>
      </c>
      <c r="S142" s="0" t="s">
        <v>42</v>
      </c>
      <c r="T142" s="0" t="str">
        <f aca="false">IF(L142="inf","False","True")</f>
        <v>True</v>
      </c>
      <c r="U142" s="0" t="str">
        <f aca="false">IF(V142="inf","False","True")</f>
        <v>True</v>
      </c>
      <c r="V142" s="4" t="n">
        <v>276355.44</v>
      </c>
      <c r="W142" s="4" t="n">
        <v>171848.6</v>
      </c>
      <c r="X142" s="0" t="n">
        <v>12.29</v>
      </c>
      <c r="Y142" s="5" t="n">
        <f aca="false">V142-L142</f>
        <v>275859.44</v>
      </c>
      <c r="Z142" s="6" t="n">
        <f aca="false">Y142/L142</f>
        <v>556.168225806452</v>
      </c>
      <c r="AA142" s="3" t="n">
        <f aca="false">X142-P142</f>
        <v>8.4</v>
      </c>
      <c r="AB142" s="6" t="n">
        <f aca="false">AA142/P142</f>
        <v>2.15938303341902</v>
      </c>
    </row>
    <row r="143" customFormat="false" ht="12.75" hidden="false" customHeight="false" outlineLevel="0" collapsed="false">
      <c r="A143" s="0" t="s">
        <v>185</v>
      </c>
      <c r="B143" s="0" t="n">
        <v>1</v>
      </c>
      <c r="C143" s="0" t="s">
        <v>31</v>
      </c>
      <c r="D143" s="0" t="s">
        <v>31</v>
      </c>
      <c r="E143" s="0" t="n">
        <v>1000</v>
      </c>
      <c r="F143" s="0" t="n">
        <v>514</v>
      </c>
      <c r="G143" s="0" t="n">
        <v>15</v>
      </c>
      <c r="H143" s="0" t="n">
        <v>3</v>
      </c>
      <c r="I143" s="0" t="n">
        <v>3</v>
      </c>
      <c r="J143" s="0" t="n">
        <v>8</v>
      </c>
      <c r="K143" s="0" t="n">
        <v>0.7</v>
      </c>
      <c r="L143" s="1" t="n">
        <v>514</v>
      </c>
      <c r="M143" s="0" t="n">
        <v>0</v>
      </c>
      <c r="N143" s="0" t="n">
        <v>514</v>
      </c>
      <c r="O143" s="0" t="n">
        <v>171439</v>
      </c>
      <c r="P143" s="1" t="n">
        <v>3.91</v>
      </c>
      <c r="Q143" s="0" t="n">
        <v>0</v>
      </c>
      <c r="R143" s="0" t="n">
        <v>1</v>
      </c>
      <c r="S143" s="0" t="s">
        <v>42</v>
      </c>
      <c r="T143" s="0" t="str">
        <f aca="false">IF(L143="inf","False","True")</f>
        <v>True</v>
      </c>
      <c r="U143" s="0" t="str">
        <f aca="false">IF(V143="inf","False","True")</f>
        <v>True</v>
      </c>
      <c r="V143" s="4" t="n">
        <v>10032.45</v>
      </c>
      <c r="W143" s="4" t="n">
        <v>171286.12</v>
      </c>
      <c r="X143" s="0" t="n">
        <v>0.72</v>
      </c>
      <c r="Y143" s="5" t="n">
        <f aca="false">V143-L143</f>
        <v>9518.45</v>
      </c>
      <c r="Z143" s="6" t="n">
        <f aca="false">Y143/L143</f>
        <v>18.5183852140078</v>
      </c>
      <c r="AA143" s="3" t="n">
        <f aca="false">X143-P143</f>
        <v>-3.19</v>
      </c>
      <c r="AB143" s="6" t="n">
        <f aca="false">AA143/P143</f>
        <v>-0.815856777493606</v>
      </c>
    </row>
    <row r="144" customFormat="false" ht="12.75" hidden="false" customHeight="false" outlineLevel="0" collapsed="false">
      <c r="A144" s="0" t="s">
        <v>186</v>
      </c>
      <c r="B144" s="0" t="n">
        <v>2</v>
      </c>
      <c r="C144" s="0" t="s">
        <v>31</v>
      </c>
      <c r="D144" s="0" t="s">
        <v>31</v>
      </c>
      <c r="E144" s="0" t="n">
        <v>1000</v>
      </c>
      <c r="F144" s="0" t="n">
        <v>505</v>
      </c>
      <c r="G144" s="0" t="n">
        <v>15</v>
      </c>
      <c r="H144" s="0" t="n">
        <v>3</v>
      </c>
      <c r="I144" s="0" t="n">
        <v>3</v>
      </c>
      <c r="J144" s="0" t="n">
        <v>8</v>
      </c>
      <c r="K144" s="0" t="n">
        <v>0.7</v>
      </c>
      <c r="L144" s="1" t="n">
        <v>505</v>
      </c>
      <c r="M144" s="0" t="n">
        <v>0</v>
      </c>
      <c r="N144" s="0" t="n">
        <v>505</v>
      </c>
      <c r="O144" s="0" t="n">
        <v>196251</v>
      </c>
      <c r="P144" s="1" t="n">
        <v>4.71</v>
      </c>
      <c r="Q144" s="0" t="n">
        <v>0</v>
      </c>
      <c r="R144" s="0" t="n">
        <v>6</v>
      </c>
      <c r="S144" s="0" t="s">
        <v>42</v>
      </c>
      <c r="T144" s="0" t="str">
        <f aca="false">IF(L144="inf","False","True")</f>
        <v>True</v>
      </c>
      <c r="U144" s="0" t="str">
        <f aca="false">IF(V144="inf","False","True")</f>
        <v>True</v>
      </c>
      <c r="V144" s="4" t="n">
        <v>217192.62</v>
      </c>
      <c r="W144" s="4" t="n">
        <v>185575</v>
      </c>
      <c r="X144" s="0" t="n">
        <v>6.61</v>
      </c>
      <c r="Y144" s="5" t="n">
        <f aca="false">V144-L144</f>
        <v>216687.62</v>
      </c>
      <c r="Z144" s="6" t="n">
        <f aca="false">Y144/L144</f>
        <v>429.084396039604</v>
      </c>
      <c r="AA144" s="3" t="n">
        <f aca="false">X144-P144</f>
        <v>1.9</v>
      </c>
      <c r="AB144" s="6" t="n">
        <f aca="false">AA144/P144</f>
        <v>0.403397027600849</v>
      </c>
    </row>
    <row r="145" customFormat="false" ht="12.75" hidden="false" customHeight="false" outlineLevel="0" collapsed="false">
      <c r="A145" s="0" t="s">
        <v>187</v>
      </c>
      <c r="B145" s="0" t="n">
        <v>3</v>
      </c>
      <c r="C145" s="0" t="s">
        <v>31</v>
      </c>
      <c r="D145" s="0" t="s">
        <v>31</v>
      </c>
      <c r="E145" s="0" t="n">
        <v>1000</v>
      </c>
      <c r="F145" s="0" t="n">
        <v>489</v>
      </c>
      <c r="G145" s="0" t="n">
        <v>15</v>
      </c>
      <c r="H145" s="0" t="n">
        <v>3</v>
      </c>
      <c r="I145" s="0" t="n">
        <v>3</v>
      </c>
      <c r="J145" s="0" t="n">
        <v>8</v>
      </c>
      <c r="K145" s="0" t="n">
        <v>0.7</v>
      </c>
      <c r="L145" s="1" t="n">
        <v>489</v>
      </c>
      <c r="M145" s="0" t="n">
        <v>0</v>
      </c>
      <c r="N145" s="0" t="n">
        <v>489</v>
      </c>
      <c r="O145" s="0" t="n">
        <v>160848</v>
      </c>
      <c r="P145" s="1" t="n">
        <v>3.83</v>
      </c>
      <c r="Q145" s="0" t="n">
        <v>0</v>
      </c>
      <c r="R145" s="0" t="n">
        <v>1</v>
      </c>
      <c r="S145" s="0" t="s">
        <v>42</v>
      </c>
      <c r="T145" s="0" t="str">
        <f aca="false">IF(L145="inf","False","True")</f>
        <v>True</v>
      </c>
      <c r="U145" s="0" t="str">
        <f aca="false">IF(V145="inf","False","True")</f>
        <v>True</v>
      </c>
      <c r="V145" s="4" t="n">
        <v>350.5</v>
      </c>
      <c r="W145" s="4" t="n">
        <v>160848</v>
      </c>
      <c r="X145" s="0" t="n">
        <v>9.97</v>
      </c>
      <c r="Y145" s="5" t="n">
        <f aca="false">V145-L145</f>
        <v>-138.5</v>
      </c>
      <c r="Z145" s="6" t="n">
        <f aca="false">Y145/L145</f>
        <v>-0.283231083844581</v>
      </c>
      <c r="AA145" s="3" t="n">
        <f aca="false">X145-P145</f>
        <v>6.14</v>
      </c>
      <c r="AB145" s="6" t="n">
        <f aca="false">AA145/P145</f>
        <v>1.60313315926893</v>
      </c>
    </row>
    <row r="146" customFormat="false" ht="12.75" hidden="false" customHeight="false" outlineLevel="0" collapsed="false">
      <c r="A146" s="0" t="s">
        <v>188</v>
      </c>
      <c r="B146" s="0" t="n">
        <v>4</v>
      </c>
      <c r="C146" s="0" t="s">
        <v>31</v>
      </c>
      <c r="D146" s="0" t="s">
        <v>31</v>
      </c>
      <c r="E146" s="0" t="n">
        <v>1000</v>
      </c>
      <c r="F146" s="0" t="n">
        <v>526</v>
      </c>
      <c r="G146" s="0" t="n">
        <v>15</v>
      </c>
      <c r="H146" s="0" t="n">
        <v>3</v>
      </c>
      <c r="I146" s="0" t="n">
        <v>3</v>
      </c>
      <c r="J146" s="0" t="n">
        <v>8</v>
      </c>
      <c r="K146" s="0" t="n">
        <v>0.7</v>
      </c>
      <c r="L146" s="1" t="n">
        <v>526</v>
      </c>
      <c r="M146" s="0" t="n">
        <v>0</v>
      </c>
      <c r="N146" s="0" t="n">
        <v>526</v>
      </c>
      <c r="O146" s="0" t="n">
        <v>187837</v>
      </c>
      <c r="P146" s="1" t="n">
        <v>3.92</v>
      </c>
      <c r="Q146" s="0" t="n">
        <v>0</v>
      </c>
      <c r="R146" s="0" t="n">
        <v>1</v>
      </c>
      <c r="S146" s="0" t="s">
        <v>42</v>
      </c>
      <c r="T146" s="0" t="str">
        <f aca="false">IF(L146="inf","False","True")</f>
        <v>True</v>
      </c>
      <c r="U146" s="0" t="str">
        <f aca="false">IF(V146="inf","False","True")</f>
        <v>True</v>
      </c>
      <c r="V146" s="4" t="n">
        <v>22938.7</v>
      </c>
      <c r="W146" s="4" t="n">
        <v>187890</v>
      </c>
      <c r="X146" s="0" t="n">
        <v>8.1</v>
      </c>
      <c r="Y146" s="5" t="n">
        <f aca="false">V146-L146</f>
        <v>22412.7</v>
      </c>
      <c r="Z146" s="6" t="n">
        <f aca="false">Y146/L146</f>
        <v>42.6096958174905</v>
      </c>
      <c r="AA146" s="3" t="n">
        <f aca="false">X146-P146</f>
        <v>4.18</v>
      </c>
      <c r="AB146" s="6" t="n">
        <f aca="false">AA146/P146</f>
        <v>1.06632653061225</v>
      </c>
    </row>
    <row r="147" customFormat="false" ht="12.75" hidden="false" customHeight="false" outlineLevel="0" collapsed="false">
      <c r="A147" s="0" t="s">
        <v>189</v>
      </c>
      <c r="B147" s="0" t="n">
        <v>0</v>
      </c>
      <c r="C147" s="0" t="s">
        <v>31</v>
      </c>
      <c r="D147" s="0" t="s">
        <v>31</v>
      </c>
      <c r="E147" s="0" t="n">
        <v>1666</v>
      </c>
      <c r="F147" s="0" t="n">
        <v>828</v>
      </c>
      <c r="G147" s="0" t="n">
        <v>15</v>
      </c>
      <c r="H147" s="0" t="n">
        <v>3</v>
      </c>
      <c r="I147" s="0" t="n">
        <v>3</v>
      </c>
      <c r="J147" s="0" t="n">
        <v>8</v>
      </c>
      <c r="K147" s="0" t="n">
        <v>0.7</v>
      </c>
      <c r="L147" s="1" t="n">
        <v>828</v>
      </c>
      <c r="M147" s="0" t="n">
        <v>0</v>
      </c>
      <c r="N147" s="0" t="n">
        <v>828</v>
      </c>
      <c r="O147" s="0" t="n">
        <v>292739</v>
      </c>
      <c r="P147" s="1" t="n">
        <v>3.91</v>
      </c>
      <c r="Q147" s="0" t="n">
        <v>0</v>
      </c>
      <c r="R147" s="0" t="n">
        <v>1</v>
      </c>
      <c r="S147" s="0" t="s">
        <v>42</v>
      </c>
      <c r="T147" s="0" t="str">
        <f aca="false">IF(L147="inf","False","True")</f>
        <v>True</v>
      </c>
      <c r="U147" s="0" t="str">
        <f aca="false">IF(V147="inf","False","True")</f>
        <v>True</v>
      </c>
      <c r="V147" s="4" t="n">
        <v>437854.28</v>
      </c>
      <c r="W147" s="4" t="n">
        <v>283999.33</v>
      </c>
      <c r="X147" s="0" t="n">
        <v>5.89</v>
      </c>
      <c r="Y147" s="5" t="n">
        <f aca="false">V147-L147</f>
        <v>437026.28</v>
      </c>
      <c r="Z147" s="6" t="n">
        <f aca="false">Y147/L147</f>
        <v>527.809516908213</v>
      </c>
      <c r="AA147" s="3" t="n">
        <f aca="false">X147-P147</f>
        <v>1.98</v>
      </c>
      <c r="AB147" s="6" t="n">
        <f aca="false">AA147/P147</f>
        <v>0.506393861892583</v>
      </c>
    </row>
    <row r="148" customFormat="false" ht="12.75" hidden="false" customHeight="false" outlineLevel="0" collapsed="false">
      <c r="A148" s="0" t="s">
        <v>190</v>
      </c>
      <c r="B148" s="0" t="n">
        <v>1</v>
      </c>
      <c r="C148" s="0" t="s">
        <v>31</v>
      </c>
      <c r="D148" s="0" t="s">
        <v>31</v>
      </c>
      <c r="E148" s="0" t="n">
        <v>1666</v>
      </c>
      <c r="F148" s="0" t="n">
        <v>858</v>
      </c>
      <c r="G148" s="0" t="n">
        <v>15</v>
      </c>
      <c r="H148" s="0" t="n">
        <v>3</v>
      </c>
      <c r="I148" s="0" t="n">
        <v>3</v>
      </c>
      <c r="J148" s="0" t="n">
        <v>8</v>
      </c>
      <c r="K148" s="0" t="n">
        <v>0.7</v>
      </c>
      <c r="L148" s="1" t="n">
        <v>858</v>
      </c>
      <c r="M148" s="0" t="n">
        <v>0</v>
      </c>
      <c r="N148" s="0" t="n">
        <v>858</v>
      </c>
      <c r="O148" s="0" t="n">
        <v>285730</v>
      </c>
      <c r="P148" s="1" t="n">
        <v>3.83</v>
      </c>
      <c r="Q148" s="0" t="n">
        <v>0</v>
      </c>
      <c r="R148" s="0" t="n">
        <v>1</v>
      </c>
      <c r="S148" s="0" t="s">
        <v>42</v>
      </c>
      <c r="T148" s="0" t="str">
        <f aca="false">IF(L148="inf","False","True")</f>
        <v>True</v>
      </c>
      <c r="U148" s="0" t="str">
        <f aca="false">IF(V148="inf","False","True")</f>
        <v>True</v>
      </c>
      <c r="V148" s="4" t="n">
        <v>674714.74</v>
      </c>
      <c r="W148" s="4" t="n">
        <v>261244</v>
      </c>
      <c r="X148" s="0" t="n">
        <v>2.99</v>
      </c>
      <c r="Y148" s="5" t="n">
        <f aca="false">V148-L148</f>
        <v>673856.74</v>
      </c>
      <c r="Z148" s="6" t="n">
        <f aca="false">Y148/L148</f>
        <v>785.380815850816</v>
      </c>
      <c r="AA148" s="3" t="n">
        <f aca="false">X148-P148</f>
        <v>-0.84</v>
      </c>
      <c r="AB148" s="6" t="n">
        <f aca="false">AA148/P148</f>
        <v>-0.219321148825065</v>
      </c>
    </row>
    <row r="149" customFormat="false" ht="12.75" hidden="false" customHeight="false" outlineLevel="0" collapsed="false">
      <c r="A149" s="0" t="s">
        <v>191</v>
      </c>
      <c r="B149" s="0" t="n">
        <v>2</v>
      </c>
      <c r="C149" s="0" t="s">
        <v>31</v>
      </c>
      <c r="D149" s="0" t="s">
        <v>31</v>
      </c>
      <c r="E149" s="0" t="n">
        <v>1666</v>
      </c>
      <c r="F149" s="0" t="n">
        <v>843</v>
      </c>
      <c r="G149" s="0" t="n">
        <v>15</v>
      </c>
      <c r="H149" s="0" t="n">
        <v>3</v>
      </c>
      <c r="I149" s="0" t="n">
        <v>3</v>
      </c>
      <c r="J149" s="0" t="n">
        <v>8</v>
      </c>
      <c r="K149" s="0" t="n">
        <v>0.7</v>
      </c>
      <c r="L149" s="1" t="n">
        <v>843</v>
      </c>
      <c r="M149" s="0" t="n">
        <v>0</v>
      </c>
      <c r="N149" s="0" t="n">
        <v>843</v>
      </c>
      <c r="O149" s="0" t="n">
        <v>327051</v>
      </c>
      <c r="P149" s="1" t="n">
        <v>4.75</v>
      </c>
      <c r="Q149" s="0" t="n">
        <v>0</v>
      </c>
      <c r="R149" s="0" t="n">
        <v>7</v>
      </c>
      <c r="S149" s="0" t="s">
        <v>42</v>
      </c>
      <c r="T149" s="0" t="str">
        <f aca="false">IF(L149="inf","False","True")</f>
        <v>True</v>
      </c>
      <c r="U149" s="0" t="str">
        <f aca="false">IF(V149="inf","False","True")</f>
        <v>True</v>
      </c>
      <c r="V149" s="4" t="n">
        <v>1006988.64</v>
      </c>
      <c r="W149" s="4" t="n">
        <v>284888.99</v>
      </c>
      <c r="X149" s="0" t="n">
        <v>5.48</v>
      </c>
      <c r="Y149" s="5" t="n">
        <f aca="false">V149-L149</f>
        <v>1006145.64</v>
      </c>
      <c r="Z149" s="6" t="n">
        <f aca="false">Y149/L149</f>
        <v>1193.52982206406</v>
      </c>
      <c r="AA149" s="3" t="n">
        <f aca="false">X149-P149</f>
        <v>0.73</v>
      </c>
      <c r="AB149" s="6" t="n">
        <f aca="false">AA149/P149</f>
        <v>0.153684210526316</v>
      </c>
    </row>
    <row r="150" customFormat="false" ht="12.75" hidden="false" customHeight="false" outlineLevel="0" collapsed="false">
      <c r="A150" s="0" t="s">
        <v>192</v>
      </c>
      <c r="B150" s="0" t="n">
        <v>3</v>
      </c>
      <c r="C150" s="0" t="s">
        <v>31</v>
      </c>
      <c r="D150" s="0" t="s">
        <v>31</v>
      </c>
      <c r="E150" s="0" t="n">
        <v>1666</v>
      </c>
      <c r="F150" s="0" t="n">
        <v>816</v>
      </c>
      <c r="G150" s="0" t="n">
        <v>15</v>
      </c>
      <c r="H150" s="0" t="n">
        <v>3</v>
      </c>
      <c r="I150" s="0" t="n">
        <v>3</v>
      </c>
      <c r="J150" s="0" t="n">
        <v>8</v>
      </c>
      <c r="K150" s="0" t="n">
        <v>0.7</v>
      </c>
      <c r="L150" s="1" t="n">
        <v>816</v>
      </c>
      <c r="M150" s="0" t="n">
        <v>0</v>
      </c>
      <c r="N150" s="0" t="n">
        <v>816</v>
      </c>
      <c r="O150" s="0" t="n">
        <v>268092</v>
      </c>
      <c r="P150" s="1" t="n">
        <v>3.87</v>
      </c>
      <c r="Q150" s="0" t="n">
        <v>0</v>
      </c>
      <c r="R150" s="0" t="n">
        <v>1</v>
      </c>
      <c r="S150" s="0" t="s">
        <v>42</v>
      </c>
      <c r="T150" s="0" t="str">
        <f aca="false">IF(L150="inf","False","True")</f>
        <v>True</v>
      </c>
      <c r="U150" s="0" t="str">
        <f aca="false">IF(V150="inf","False","True")</f>
        <v>True</v>
      </c>
      <c r="V150" s="4" t="n">
        <v>31533.59</v>
      </c>
      <c r="W150" s="4" t="n">
        <v>267774</v>
      </c>
      <c r="X150" s="0" t="n">
        <v>15.45</v>
      </c>
      <c r="Y150" s="5" t="n">
        <f aca="false">V150-L150</f>
        <v>30717.59</v>
      </c>
      <c r="Z150" s="6" t="n">
        <f aca="false">Y150/L150</f>
        <v>37.6441053921569</v>
      </c>
      <c r="AA150" s="3" t="n">
        <f aca="false">X150-P150</f>
        <v>11.58</v>
      </c>
      <c r="AB150" s="6" t="n">
        <f aca="false">AA150/P150</f>
        <v>2.9922480620155</v>
      </c>
    </row>
    <row r="151" customFormat="false" ht="12.75" hidden="false" customHeight="false" outlineLevel="0" collapsed="false">
      <c r="A151" s="0" t="s">
        <v>193</v>
      </c>
      <c r="B151" s="0" t="n">
        <v>4</v>
      </c>
      <c r="C151" s="0" t="s">
        <v>31</v>
      </c>
      <c r="D151" s="0" t="s">
        <v>31</v>
      </c>
      <c r="E151" s="0" t="n">
        <v>1666</v>
      </c>
      <c r="F151" s="0" t="n">
        <v>878</v>
      </c>
      <c r="G151" s="0" t="n">
        <v>15</v>
      </c>
      <c r="H151" s="0" t="n">
        <v>3</v>
      </c>
      <c r="I151" s="0" t="n">
        <v>3</v>
      </c>
      <c r="J151" s="0" t="n">
        <v>8</v>
      </c>
      <c r="K151" s="0" t="n">
        <v>0.7</v>
      </c>
      <c r="L151" s="1" t="n">
        <v>878</v>
      </c>
      <c r="M151" s="0" t="n">
        <v>0</v>
      </c>
      <c r="N151" s="0" t="n">
        <v>878</v>
      </c>
      <c r="O151" s="0" t="n">
        <v>313078</v>
      </c>
      <c r="P151" s="1" t="n">
        <v>3.97</v>
      </c>
      <c r="Q151" s="0" t="n">
        <v>0</v>
      </c>
      <c r="R151" s="0" t="n">
        <v>1</v>
      </c>
      <c r="S151" s="0" t="s">
        <v>42</v>
      </c>
      <c r="T151" s="0" t="str">
        <f aca="false">IF(L151="inf","False","True")</f>
        <v>True</v>
      </c>
      <c r="U151" s="0" t="str">
        <f aca="false">IF(V151="inf","False","True")</f>
        <v>True</v>
      </c>
      <c r="V151" s="4" t="n">
        <v>11185.21</v>
      </c>
      <c r="W151" s="4" t="n">
        <v>312991</v>
      </c>
      <c r="X151" s="0" t="n">
        <v>4.58</v>
      </c>
      <c r="Y151" s="5" t="n">
        <f aca="false">V151-L151</f>
        <v>10307.21</v>
      </c>
      <c r="Z151" s="6" t="n">
        <f aca="false">Y151/L151</f>
        <v>11.7394191343964</v>
      </c>
      <c r="AA151" s="3" t="n">
        <f aca="false">X151-P151</f>
        <v>0.61</v>
      </c>
      <c r="AB151" s="6" t="n">
        <f aca="false">AA151/P151</f>
        <v>0.153652392947103</v>
      </c>
    </row>
    <row r="152" customFormat="false" ht="12.75" hidden="false" customHeight="false" outlineLevel="0" collapsed="false">
      <c r="A152" s="0" t="s">
        <v>194</v>
      </c>
      <c r="B152" s="0" t="n">
        <v>0</v>
      </c>
      <c r="C152" s="0" t="s">
        <v>31</v>
      </c>
      <c r="D152" s="0" t="s">
        <v>31</v>
      </c>
      <c r="E152" s="0" t="n">
        <v>2333</v>
      </c>
      <c r="F152" s="0" t="n">
        <v>1160</v>
      </c>
      <c r="G152" s="0" t="n">
        <v>15</v>
      </c>
      <c r="H152" s="0" t="n">
        <v>3</v>
      </c>
      <c r="I152" s="0" t="n">
        <v>3</v>
      </c>
      <c r="J152" s="0" t="n">
        <v>8</v>
      </c>
      <c r="K152" s="0" t="n">
        <v>0.7</v>
      </c>
      <c r="L152" s="1" t="n">
        <v>1160</v>
      </c>
      <c r="M152" s="0" t="n">
        <v>0</v>
      </c>
      <c r="N152" s="0" t="n">
        <v>1160</v>
      </c>
      <c r="O152" s="0" t="n">
        <v>409860</v>
      </c>
      <c r="P152" s="1" t="n">
        <v>3.96</v>
      </c>
      <c r="Q152" s="0" t="n">
        <v>0</v>
      </c>
      <c r="R152" s="0" t="n">
        <v>1</v>
      </c>
      <c r="S152" s="0" t="s">
        <v>42</v>
      </c>
      <c r="T152" s="0" t="str">
        <f aca="false">IF(L152="inf","False","True")</f>
        <v>True</v>
      </c>
      <c r="U152" s="0" t="str">
        <f aca="false">IF(V152="inf","False","True")</f>
        <v>True</v>
      </c>
      <c r="V152" s="4" t="n">
        <v>873818.76</v>
      </c>
      <c r="W152" s="4" t="n">
        <v>395481.38</v>
      </c>
      <c r="X152" s="0" t="n">
        <v>12.16</v>
      </c>
      <c r="Y152" s="5" t="n">
        <f aca="false">V152-L152</f>
        <v>872658.76</v>
      </c>
      <c r="Z152" s="6" t="n">
        <f aca="false">Y152/L152</f>
        <v>752.292034482759</v>
      </c>
      <c r="AA152" s="3" t="n">
        <f aca="false">X152-P152</f>
        <v>8.2</v>
      </c>
      <c r="AB152" s="6" t="n">
        <f aca="false">AA152/P152</f>
        <v>2.07070707070707</v>
      </c>
    </row>
    <row r="153" customFormat="false" ht="12.75" hidden="false" customHeight="false" outlineLevel="0" collapsed="false">
      <c r="A153" s="0" t="s">
        <v>195</v>
      </c>
      <c r="B153" s="0" t="n">
        <v>1</v>
      </c>
      <c r="C153" s="0" t="s">
        <v>31</v>
      </c>
      <c r="D153" s="0" t="s">
        <v>31</v>
      </c>
      <c r="E153" s="0" t="n">
        <v>2333</v>
      </c>
      <c r="F153" s="0" t="n">
        <v>1204</v>
      </c>
      <c r="G153" s="0" t="n">
        <v>15</v>
      </c>
      <c r="H153" s="0" t="n">
        <v>3</v>
      </c>
      <c r="I153" s="0" t="n">
        <v>3</v>
      </c>
      <c r="J153" s="0" t="n">
        <v>8</v>
      </c>
      <c r="K153" s="0" t="n">
        <v>0.7</v>
      </c>
      <c r="L153" s="1" t="n">
        <v>1204</v>
      </c>
      <c r="M153" s="0" t="n">
        <v>0</v>
      </c>
      <c r="N153" s="0" t="n">
        <v>1204</v>
      </c>
      <c r="O153" s="0" t="n">
        <v>400045</v>
      </c>
      <c r="P153" s="1" t="n">
        <v>4.48</v>
      </c>
      <c r="Q153" s="0" t="n">
        <v>0</v>
      </c>
      <c r="R153" s="0" t="n">
        <v>1</v>
      </c>
      <c r="S153" s="0" t="s">
        <v>42</v>
      </c>
      <c r="T153" s="0" t="str">
        <f aca="false">IF(L153="inf","False","True")</f>
        <v>True</v>
      </c>
      <c r="U153" s="0" t="str">
        <f aca="false">IF(V153="inf","False","True")</f>
        <v>True</v>
      </c>
      <c r="V153" s="4" t="n">
        <v>477332.74</v>
      </c>
      <c r="W153" s="4" t="n">
        <v>384680.89</v>
      </c>
      <c r="X153" s="0" t="n">
        <v>0</v>
      </c>
      <c r="Y153" s="5" t="n">
        <f aca="false">V153-L153</f>
        <v>476128.74</v>
      </c>
      <c r="Z153" s="6" t="n">
        <f aca="false">Y153/L153</f>
        <v>395.455764119601</v>
      </c>
      <c r="AA153" s="3" t="n">
        <f aca="false">X153-P153</f>
        <v>-4.48</v>
      </c>
      <c r="AB153" s="6" t="n">
        <f aca="false">AA153/P153</f>
        <v>-1</v>
      </c>
    </row>
    <row r="154" customFormat="false" ht="12.75" hidden="false" customHeight="false" outlineLevel="0" collapsed="false">
      <c r="A154" s="0" t="s">
        <v>196</v>
      </c>
      <c r="B154" s="0" t="n">
        <v>2</v>
      </c>
      <c r="C154" s="0" t="s">
        <v>31</v>
      </c>
      <c r="D154" s="0" t="s">
        <v>31</v>
      </c>
      <c r="E154" s="0" t="n">
        <v>2333</v>
      </c>
      <c r="F154" s="0" t="n">
        <v>1182</v>
      </c>
      <c r="G154" s="0" t="n">
        <v>15</v>
      </c>
      <c r="H154" s="0" t="n">
        <v>3</v>
      </c>
      <c r="I154" s="0" t="n">
        <v>3</v>
      </c>
      <c r="J154" s="0" t="n">
        <v>8</v>
      </c>
      <c r="K154" s="0" t="n">
        <v>0.7</v>
      </c>
      <c r="L154" s="1" t="n">
        <v>1182</v>
      </c>
      <c r="M154" s="0" t="n">
        <v>0</v>
      </c>
      <c r="N154" s="0" t="n">
        <v>1182</v>
      </c>
      <c r="O154" s="0" t="n">
        <v>457865</v>
      </c>
      <c r="P154" s="1" t="n">
        <v>4.52</v>
      </c>
      <c r="Q154" s="0" t="n">
        <v>0</v>
      </c>
      <c r="R154" s="0" t="n">
        <v>1</v>
      </c>
      <c r="S154" s="0" t="s">
        <v>42</v>
      </c>
      <c r="T154" s="0" t="str">
        <f aca="false">IF(L154="inf","False","True")</f>
        <v>True</v>
      </c>
      <c r="U154" s="0" t="str">
        <f aca="false">IF(V154="inf","False","True")</f>
        <v>True</v>
      </c>
      <c r="V154" s="4" t="n">
        <v>1071875.05</v>
      </c>
      <c r="W154" s="4" t="n">
        <v>412496.01</v>
      </c>
      <c r="X154" s="0" t="n">
        <v>13.29</v>
      </c>
      <c r="Y154" s="5" t="n">
        <f aca="false">V154-L154</f>
        <v>1070693.05</v>
      </c>
      <c r="Z154" s="6" t="n">
        <f aca="false">Y154/L154</f>
        <v>905.83168358714</v>
      </c>
      <c r="AA154" s="3" t="n">
        <f aca="false">X154-P154</f>
        <v>8.77</v>
      </c>
      <c r="AB154" s="6" t="n">
        <f aca="false">AA154/P154</f>
        <v>1.94026548672566</v>
      </c>
    </row>
    <row r="155" customFormat="false" ht="12.75" hidden="false" customHeight="false" outlineLevel="0" collapsed="false">
      <c r="A155" s="0" t="s">
        <v>197</v>
      </c>
      <c r="B155" s="0" t="n">
        <v>3</v>
      </c>
      <c r="C155" s="0" t="s">
        <v>31</v>
      </c>
      <c r="D155" s="0" t="s">
        <v>31</v>
      </c>
      <c r="E155" s="0" t="n">
        <v>2333</v>
      </c>
      <c r="F155" s="0" t="n">
        <v>1145</v>
      </c>
      <c r="G155" s="0" t="n">
        <v>15</v>
      </c>
      <c r="H155" s="0" t="n">
        <v>3</v>
      </c>
      <c r="I155" s="0" t="n">
        <v>3</v>
      </c>
      <c r="J155" s="0" t="n">
        <v>8</v>
      </c>
      <c r="K155" s="0" t="n">
        <v>0.7</v>
      </c>
      <c r="L155" s="1" t="n">
        <v>1145</v>
      </c>
      <c r="M155" s="0" t="n">
        <v>0</v>
      </c>
      <c r="N155" s="0" t="n">
        <v>1145</v>
      </c>
      <c r="O155" s="0" t="n">
        <v>375328</v>
      </c>
      <c r="P155" s="1" t="n">
        <v>3.9</v>
      </c>
      <c r="Q155" s="0" t="n">
        <v>0</v>
      </c>
      <c r="R155" s="0" t="n">
        <v>1</v>
      </c>
      <c r="S155" s="0" t="s">
        <v>42</v>
      </c>
      <c r="T155" s="0" t="str">
        <f aca="false">IF(L155="inf","False","True")</f>
        <v>True</v>
      </c>
      <c r="U155" s="0" t="str">
        <f aca="false">IF(V155="inf","False","True")</f>
        <v>True</v>
      </c>
      <c r="V155" s="4" t="n">
        <v>161155.77</v>
      </c>
      <c r="W155" s="4" t="n">
        <v>376922.39</v>
      </c>
      <c r="X155" s="0" t="n">
        <v>2.34</v>
      </c>
      <c r="Y155" s="5" t="n">
        <f aca="false">V155-L155</f>
        <v>160010.77</v>
      </c>
      <c r="Z155" s="6" t="n">
        <f aca="false">Y155/L155</f>
        <v>139.747397379913</v>
      </c>
      <c r="AA155" s="3" t="n">
        <f aca="false">X155-P155</f>
        <v>-1.56</v>
      </c>
      <c r="AB155" s="6" t="n">
        <f aca="false">AA155/P155</f>
        <v>-0.4</v>
      </c>
    </row>
    <row r="156" customFormat="false" ht="12.75" hidden="false" customHeight="false" outlineLevel="0" collapsed="false">
      <c r="A156" s="0" t="s">
        <v>198</v>
      </c>
      <c r="B156" s="0" t="n">
        <v>4</v>
      </c>
      <c r="C156" s="0" t="s">
        <v>31</v>
      </c>
      <c r="D156" s="0" t="s">
        <v>31</v>
      </c>
      <c r="E156" s="0" t="n">
        <v>2333</v>
      </c>
      <c r="F156" s="0" t="n">
        <v>1231</v>
      </c>
      <c r="G156" s="0" t="n">
        <v>15</v>
      </c>
      <c r="H156" s="0" t="n">
        <v>3</v>
      </c>
      <c r="I156" s="0" t="n">
        <v>3</v>
      </c>
      <c r="J156" s="0" t="n">
        <v>8</v>
      </c>
      <c r="K156" s="0" t="n">
        <v>0.7</v>
      </c>
      <c r="L156" s="1" t="n">
        <v>1231</v>
      </c>
      <c r="M156" s="0" t="n">
        <v>0</v>
      </c>
      <c r="N156" s="0" t="n">
        <v>1231</v>
      </c>
      <c r="O156" s="0" t="n">
        <v>438346</v>
      </c>
      <c r="P156" s="1" t="n">
        <v>4</v>
      </c>
      <c r="Q156" s="0" t="n">
        <v>0</v>
      </c>
      <c r="R156" s="0" t="n">
        <v>1</v>
      </c>
      <c r="S156" s="0" t="s">
        <v>42</v>
      </c>
      <c r="T156" s="0" t="str">
        <f aca="false">IF(L156="inf","False","True")</f>
        <v>True</v>
      </c>
      <c r="U156" s="0" t="str">
        <f aca="false">IF(V156="inf","False","True")</f>
        <v>True</v>
      </c>
      <c r="V156" s="4" t="n">
        <v>283662.65</v>
      </c>
      <c r="W156" s="4" t="n">
        <v>430794.59</v>
      </c>
      <c r="X156" s="0" t="n">
        <v>6.17</v>
      </c>
      <c r="Y156" s="5" t="n">
        <f aca="false">V156-L156</f>
        <v>282431.65</v>
      </c>
      <c r="Z156" s="6" t="n">
        <f aca="false">Y156/L156</f>
        <v>229.432696994314</v>
      </c>
      <c r="AA156" s="3" t="n">
        <f aca="false">X156-P156</f>
        <v>2.17</v>
      </c>
      <c r="AB156" s="6" t="n">
        <f aca="false">AA156/P156</f>
        <v>0.5425</v>
      </c>
    </row>
    <row r="157" customFormat="false" ht="12.75" hidden="false" customHeight="false" outlineLevel="0" collapsed="false">
      <c r="A157" s="0" t="s">
        <v>199</v>
      </c>
      <c r="B157" s="0" t="n">
        <v>0</v>
      </c>
      <c r="C157" s="0" t="s">
        <v>31</v>
      </c>
      <c r="D157" s="0" t="s">
        <v>31</v>
      </c>
      <c r="E157" s="0" t="n">
        <v>3333</v>
      </c>
      <c r="F157" s="0" t="n">
        <v>1660</v>
      </c>
      <c r="G157" s="0" t="n">
        <v>15</v>
      </c>
      <c r="H157" s="0" t="n">
        <v>3</v>
      </c>
      <c r="I157" s="0" t="n">
        <v>3</v>
      </c>
      <c r="J157" s="0" t="n">
        <v>8</v>
      </c>
      <c r="K157" s="0" t="n">
        <v>0.7</v>
      </c>
      <c r="L157" s="1" t="n">
        <v>1660</v>
      </c>
      <c r="M157" s="0" t="n">
        <v>0</v>
      </c>
      <c r="N157" s="0" t="n">
        <v>1660</v>
      </c>
      <c r="O157" s="0" t="n">
        <v>585554</v>
      </c>
      <c r="P157" s="1" t="n">
        <v>3.88</v>
      </c>
      <c r="Q157" s="0" t="n">
        <v>0</v>
      </c>
      <c r="R157" s="0" t="n">
        <v>1</v>
      </c>
      <c r="S157" s="0" t="s">
        <v>42</v>
      </c>
      <c r="T157" s="0" t="str">
        <f aca="false">IF(L157="inf","False","True")</f>
        <v>True</v>
      </c>
      <c r="U157" s="0" t="str">
        <f aca="false">IF(V157="inf","False","True")</f>
        <v>True</v>
      </c>
      <c r="V157" s="4" t="n">
        <v>46466.12</v>
      </c>
      <c r="W157" s="4" t="n">
        <v>584620.82</v>
      </c>
      <c r="X157" s="0" t="n">
        <v>4.19</v>
      </c>
      <c r="Y157" s="5" t="n">
        <f aca="false">V157-L157</f>
        <v>44806.12</v>
      </c>
      <c r="Z157" s="6" t="n">
        <f aca="false">Y157/L157</f>
        <v>26.9916385542169</v>
      </c>
      <c r="AA157" s="3" t="n">
        <f aca="false">X157-P157</f>
        <v>0.310000000000001</v>
      </c>
      <c r="AB157" s="6" t="n">
        <f aca="false">AA157/P157</f>
        <v>0.079896907216495</v>
      </c>
    </row>
    <row r="158" customFormat="false" ht="12.75" hidden="false" customHeight="false" outlineLevel="0" collapsed="false">
      <c r="A158" s="0" t="s">
        <v>200</v>
      </c>
      <c r="B158" s="0" t="n">
        <v>1</v>
      </c>
      <c r="C158" s="0" t="s">
        <v>31</v>
      </c>
      <c r="D158" s="0" t="s">
        <v>31</v>
      </c>
      <c r="E158" s="0" t="n">
        <v>3333</v>
      </c>
      <c r="F158" s="0" t="n">
        <v>1722</v>
      </c>
      <c r="G158" s="0" t="n">
        <v>15</v>
      </c>
      <c r="H158" s="0" t="n">
        <v>3</v>
      </c>
      <c r="I158" s="0" t="n">
        <v>3</v>
      </c>
      <c r="J158" s="0" t="n">
        <v>8</v>
      </c>
      <c r="K158" s="0" t="n">
        <v>0.7</v>
      </c>
      <c r="L158" s="1" t="n">
        <v>1722</v>
      </c>
      <c r="M158" s="0" t="n">
        <v>0</v>
      </c>
      <c r="N158" s="0" t="n">
        <v>1722</v>
      </c>
      <c r="O158" s="0" t="n">
        <v>571541</v>
      </c>
      <c r="P158" s="1" t="n">
        <v>3.87</v>
      </c>
      <c r="Q158" s="0" t="n">
        <v>0</v>
      </c>
      <c r="R158" s="0" t="n">
        <v>1</v>
      </c>
      <c r="S158" s="0" t="s">
        <v>42</v>
      </c>
      <c r="T158" s="0" t="str">
        <f aca="false">IF(L158="inf","False","True")</f>
        <v>True</v>
      </c>
      <c r="U158" s="0" t="str">
        <f aca="false">IF(V158="inf","False","True")</f>
        <v>True</v>
      </c>
      <c r="V158" s="4" t="n">
        <v>530614.55</v>
      </c>
      <c r="W158" s="4" t="n">
        <v>553198.25</v>
      </c>
      <c r="X158" s="0" t="n">
        <v>0.69</v>
      </c>
      <c r="Y158" s="5" t="n">
        <f aca="false">V158-L158</f>
        <v>528892.55</v>
      </c>
      <c r="Z158" s="6" t="n">
        <f aca="false">Y158/L158</f>
        <v>307.138530778165</v>
      </c>
      <c r="AA158" s="3" t="n">
        <f aca="false">X158-P158</f>
        <v>-3.18</v>
      </c>
      <c r="AB158" s="6" t="n">
        <f aca="false">AA158/P158</f>
        <v>-0.821705426356589</v>
      </c>
    </row>
    <row r="159" customFormat="false" ht="12.75" hidden="false" customHeight="false" outlineLevel="0" collapsed="false">
      <c r="A159" s="0" t="s">
        <v>201</v>
      </c>
      <c r="B159" s="0" t="n">
        <v>2</v>
      </c>
      <c r="C159" s="0" t="s">
        <v>31</v>
      </c>
      <c r="D159" s="0" t="s">
        <v>31</v>
      </c>
      <c r="E159" s="0" t="n">
        <v>3333</v>
      </c>
      <c r="F159" s="0" t="n">
        <v>1692</v>
      </c>
      <c r="G159" s="0" t="n">
        <v>15</v>
      </c>
      <c r="H159" s="0" t="n">
        <v>3</v>
      </c>
      <c r="I159" s="0" t="n">
        <v>3</v>
      </c>
      <c r="J159" s="0" t="n">
        <v>8</v>
      </c>
      <c r="K159" s="0" t="n">
        <v>0.7</v>
      </c>
      <c r="L159" s="1" t="n">
        <v>1692</v>
      </c>
      <c r="M159" s="0" t="n">
        <v>0</v>
      </c>
      <c r="N159" s="0" t="n">
        <v>1692</v>
      </c>
      <c r="O159" s="0" t="n">
        <v>654161</v>
      </c>
      <c r="P159" s="1" t="n">
        <v>3.93</v>
      </c>
      <c r="Q159" s="0" t="n">
        <v>0</v>
      </c>
      <c r="R159" s="0" t="n">
        <v>1</v>
      </c>
      <c r="S159" s="0" t="s">
        <v>42</v>
      </c>
      <c r="T159" s="0" t="str">
        <f aca="false">IF(L159="inf","False","True")</f>
        <v>True</v>
      </c>
      <c r="U159" s="0" t="str">
        <f aca="false">IF(V159="inf","False","True")</f>
        <v>True</v>
      </c>
      <c r="V159" s="4" t="n">
        <v>156592.98</v>
      </c>
      <c r="W159" s="4" t="n">
        <v>647484.55</v>
      </c>
      <c r="X159" s="0" t="n">
        <v>6.68</v>
      </c>
      <c r="Y159" s="5" t="n">
        <f aca="false">V159-L159</f>
        <v>154900.98</v>
      </c>
      <c r="Z159" s="6" t="n">
        <f aca="false">Y159/L159</f>
        <v>91.5490425531915</v>
      </c>
      <c r="AA159" s="3" t="n">
        <f aca="false">X159-P159</f>
        <v>2.75</v>
      </c>
      <c r="AB159" s="6" t="n">
        <f aca="false">AA159/P159</f>
        <v>0.699745547073791</v>
      </c>
    </row>
    <row r="160" customFormat="false" ht="12.75" hidden="false" customHeight="false" outlineLevel="0" collapsed="false">
      <c r="A160" s="0" t="s">
        <v>202</v>
      </c>
      <c r="B160" s="0" t="n">
        <v>3</v>
      </c>
      <c r="C160" s="0" t="s">
        <v>31</v>
      </c>
      <c r="D160" s="0" t="s">
        <v>31</v>
      </c>
      <c r="E160" s="0" t="n">
        <v>3333</v>
      </c>
      <c r="F160" s="0" t="n">
        <v>1639</v>
      </c>
      <c r="G160" s="0" t="n">
        <v>15</v>
      </c>
      <c r="H160" s="0" t="n">
        <v>3</v>
      </c>
      <c r="I160" s="0" t="n">
        <v>3</v>
      </c>
      <c r="J160" s="0" t="n">
        <v>8</v>
      </c>
      <c r="K160" s="0" t="n">
        <v>0.7</v>
      </c>
      <c r="L160" s="1" t="n">
        <v>1639</v>
      </c>
      <c r="M160" s="0" t="n">
        <v>0</v>
      </c>
      <c r="N160" s="0" t="n">
        <v>1639</v>
      </c>
      <c r="O160" s="0" t="n">
        <v>536244</v>
      </c>
      <c r="P160" s="1" t="n">
        <v>3.87</v>
      </c>
      <c r="Q160" s="0" t="n">
        <v>0</v>
      </c>
      <c r="R160" s="0" t="n">
        <v>1</v>
      </c>
      <c r="S160" s="0" t="s">
        <v>42</v>
      </c>
      <c r="T160" s="0" t="str">
        <f aca="false">IF(L160="inf","False","True")</f>
        <v>True</v>
      </c>
      <c r="U160" s="0" t="str">
        <f aca="false">IF(V160="inf","False","True")</f>
        <v>True</v>
      </c>
      <c r="V160" s="4" t="n">
        <v>361147.56</v>
      </c>
      <c r="W160" s="4" t="n">
        <v>535607</v>
      </c>
      <c r="X160" s="0" t="n">
        <v>4.95</v>
      </c>
      <c r="Y160" s="5" t="n">
        <f aca="false">V160-L160</f>
        <v>359508.56</v>
      </c>
      <c r="Z160" s="6" t="n">
        <f aca="false">Y160/L160</f>
        <v>219.346284319707</v>
      </c>
      <c r="AA160" s="3" t="n">
        <f aca="false">X160-P160</f>
        <v>1.08</v>
      </c>
      <c r="AB160" s="6" t="n">
        <f aca="false">AA160/P160</f>
        <v>0.27906976744186</v>
      </c>
    </row>
    <row r="161" customFormat="false" ht="12.75" hidden="false" customHeight="false" outlineLevel="0" collapsed="false">
      <c r="A161" s="0" t="s">
        <v>203</v>
      </c>
      <c r="B161" s="0" t="n">
        <v>4</v>
      </c>
      <c r="C161" s="0" t="s">
        <v>31</v>
      </c>
      <c r="D161" s="0" t="s">
        <v>31</v>
      </c>
      <c r="E161" s="0" t="n">
        <v>3333</v>
      </c>
      <c r="F161" s="0" t="n">
        <v>1761</v>
      </c>
      <c r="G161" s="0" t="n">
        <v>15</v>
      </c>
      <c r="H161" s="0" t="n">
        <v>3</v>
      </c>
      <c r="I161" s="0" t="n">
        <v>3</v>
      </c>
      <c r="J161" s="0" t="n">
        <v>8</v>
      </c>
      <c r="K161" s="0" t="n">
        <v>0.7</v>
      </c>
      <c r="L161" s="1" t="n">
        <v>1761</v>
      </c>
      <c r="M161" s="0" t="n">
        <v>0</v>
      </c>
      <c r="N161" s="0" t="n">
        <v>1761</v>
      </c>
      <c r="O161" s="0" t="n">
        <v>626229</v>
      </c>
      <c r="P161" s="1" t="n">
        <v>3.97</v>
      </c>
      <c r="Q161" s="0" t="n">
        <v>0</v>
      </c>
      <c r="R161" s="0" t="n">
        <v>1</v>
      </c>
      <c r="S161" s="0" t="s">
        <v>42</v>
      </c>
      <c r="T161" s="0" t="str">
        <f aca="false">IF(L161="inf","False","True")</f>
        <v>True</v>
      </c>
      <c r="U161" s="0" t="str">
        <f aca="false">IF(V161="inf","False","True")</f>
        <v>True</v>
      </c>
      <c r="V161" s="4" t="n">
        <v>176426.91</v>
      </c>
      <c r="W161" s="4" t="n">
        <v>634618</v>
      </c>
      <c r="X161" s="0" t="n">
        <v>12.87</v>
      </c>
      <c r="Y161" s="5" t="n">
        <f aca="false">V161-L161</f>
        <v>174665.91</v>
      </c>
      <c r="Z161" s="6" t="n">
        <f aca="false">Y161/L161</f>
        <v>99.1856388415673</v>
      </c>
      <c r="AA161" s="3" t="n">
        <f aca="false">X161-P161</f>
        <v>8.9</v>
      </c>
      <c r="AB161" s="6" t="n">
        <f aca="false">AA161/P161</f>
        <v>2.24181360201511</v>
      </c>
    </row>
    <row r="162" customFormat="false" ht="12.75" hidden="false" customHeight="false" outlineLevel="0" collapsed="false">
      <c r="A162" s="0" t="s">
        <v>204</v>
      </c>
      <c r="B162" s="0" t="n">
        <v>0</v>
      </c>
      <c r="C162" s="0" t="s">
        <v>31</v>
      </c>
      <c r="D162" s="0" t="s">
        <v>31</v>
      </c>
      <c r="E162" s="0" t="n">
        <v>1000</v>
      </c>
      <c r="F162" s="0" t="n">
        <v>518</v>
      </c>
      <c r="G162" s="0" t="n">
        <v>15</v>
      </c>
      <c r="H162" s="0" t="n">
        <v>3</v>
      </c>
      <c r="I162" s="0" t="n">
        <v>3</v>
      </c>
      <c r="J162" s="0" t="n">
        <v>12</v>
      </c>
      <c r="K162" s="0" t="n">
        <v>0.7</v>
      </c>
      <c r="L162" s="1" t="n">
        <v>518</v>
      </c>
      <c r="M162" s="0" t="n">
        <v>0</v>
      </c>
      <c r="N162" s="0" t="n">
        <v>518</v>
      </c>
      <c r="O162" s="0" t="n">
        <v>201844</v>
      </c>
      <c r="P162" s="1" t="n">
        <v>5.08</v>
      </c>
      <c r="Q162" s="0" t="n">
        <v>0</v>
      </c>
      <c r="R162" s="0" t="n">
        <v>1</v>
      </c>
      <c r="S162" s="0" t="s">
        <v>42</v>
      </c>
      <c r="T162" s="0" t="str">
        <f aca="false">IF(L162="inf","False","True")</f>
        <v>True</v>
      </c>
      <c r="U162" s="0" t="str">
        <f aca="false">IF(V162="inf","False","True")</f>
        <v>True</v>
      </c>
      <c r="V162" s="4" t="n">
        <v>545762.51</v>
      </c>
      <c r="W162" s="4" t="n">
        <v>184006.87</v>
      </c>
      <c r="X162" s="0" t="n">
        <v>21.29</v>
      </c>
      <c r="Y162" s="5" t="n">
        <f aca="false">V162-L162</f>
        <v>545244.51</v>
      </c>
      <c r="Z162" s="6" t="n">
        <f aca="false">Y162/L162</f>
        <v>1052.59557915058</v>
      </c>
      <c r="AA162" s="3" t="n">
        <f aca="false">X162-P162</f>
        <v>16.21</v>
      </c>
      <c r="AB162" s="6" t="n">
        <f aca="false">AA162/P162</f>
        <v>3.19094488188976</v>
      </c>
    </row>
    <row r="163" customFormat="false" ht="12.75" hidden="false" customHeight="false" outlineLevel="0" collapsed="false">
      <c r="A163" s="0" t="s">
        <v>205</v>
      </c>
      <c r="B163" s="0" t="n">
        <v>1</v>
      </c>
      <c r="C163" s="0" t="s">
        <v>31</v>
      </c>
      <c r="D163" s="0" t="s">
        <v>31</v>
      </c>
      <c r="E163" s="0" t="n">
        <v>1000</v>
      </c>
      <c r="F163" s="0" t="n">
        <v>547</v>
      </c>
      <c r="G163" s="0" t="n">
        <v>15</v>
      </c>
      <c r="H163" s="0" t="n">
        <v>3</v>
      </c>
      <c r="I163" s="0" t="n">
        <v>3</v>
      </c>
      <c r="J163" s="0" t="n">
        <v>12</v>
      </c>
      <c r="K163" s="0" t="n">
        <v>0.7</v>
      </c>
      <c r="L163" s="1" t="n">
        <v>547</v>
      </c>
      <c r="M163" s="0" t="n">
        <v>0</v>
      </c>
      <c r="N163" s="0" t="n">
        <v>547</v>
      </c>
      <c r="O163" s="0" t="n">
        <v>197023</v>
      </c>
      <c r="P163" s="1" t="n">
        <v>5.2</v>
      </c>
      <c r="Q163" s="0" t="n">
        <v>0</v>
      </c>
      <c r="R163" s="0" t="n">
        <v>1</v>
      </c>
      <c r="S163" s="0" t="s">
        <v>42</v>
      </c>
      <c r="T163" s="0" t="str">
        <f aca="false">IF(L163="inf","False","True")</f>
        <v>True</v>
      </c>
      <c r="U163" s="0" t="str">
        <f aca="false">IF(V163="inf","False","True")</f>
        <v>True</v>
      </c>
      <c r="V163" s="4" t="n">
        <v>465381.99</v>
      </c>
      <c r="W163" s="4" t="n">
        <v>166054.3</v>
      </c>
      <c r="X163" s="0" t="n">
        <v>20.29</v>
      </c>
      <c r="Y163" s="5" t="n">
        <f aca="false">V163-L163</f>
        <v>464834.99</v>
      </c>
      <c r="Z163" s="6" t="n">
        <f aca="false">Y163/L163</f>
        <v>849.789744058501</v>
      </c>
      <c r="AA163" s="3" t="n">
        <f aca="false">X163-P163</f>
        <v>15.09</v>
      </c>
      <c r="AB163" s="6" t="n">
        <f aca="false">AA163/P163</f>
        <v>2.90192307692308</v>
      </c>
    </row>
    <row r="164" customFormat="false" ht="12.75" hidden="false" customHeight="false" outlineLevel="0" collapsed="false">
      <c r="A164" s="0" t="s">
        <v>206</v>
      </c>
      <c r="B164" s="0" t="n">
        <v>2</v>
      </c>
      <c r="C164" s="0" t="s">
        <v>31</v>
      </c>
      <c r="D164" s="0" t="s">
        <v>31</v>
      </c>
      <c r="E164" s="0" t="n">
        <v>1000</v>
      </c>
      <c r="F164" s="0" t="n">
        <v>522</v>
      </c>
      <c r="G164" s="0" t="n">
        <v>15</v>
      </c>
      <c r="H164" s="0" t="n">
        <v>3</v>
      </c>
      <c r="I164" s="0" t="n">
        <v>3</v>
      </c>
      <c r="J164" s="0" t="n">
        <v>12</v>
      </c>
      <c r="K164" s="0" t="n">
        <v>0.7</v>
      </c>
      <c r="L164" s="1" t="n">
        <v>188446.26</v>
      </c>
      <c r="M164" s="0" t="n">
        <v>187941.25</v>
      </c>
      <c r="N164" s="0" t="n">
        <v>505.02</v>
      </c>
      <c r="O164" s="0" t="n">
        <v>179236.34</v>
      </c>
      <c r="P164" s="1" t="n">
        <v>18.77</v>
      </c>
      <c r="Q164" s="0" t="n">
        <v>0</v>
      </c>
      <c r="R164" s="0" t="n">
        <v>6</v>
      </c>
      <c r="S164" s="0" t="s">
        <v>207</v>
      </c>
      <c r="T164" s="0" t="str">
        <f aca="false">IF(L164="inf","False","True")</f>
        <v>True</v>
      </c>
      <c r="U164" s="0" t="str">
        <f aca="false">IF(V164="inf","False","True")</f>
        <v>True</v>
      </c>
      <c r="V164" s="4" t="n">
        <v>549776.7</v>
      </c>
      <c r="W164" s="4" t="n">
        <v>154284.28</v>
      </c>
      <c r="X164" s="0" t="n">
        <v>33</v>
      </c>
      <c r="Y164" s="5" t="n">
        <f aca="false">V164-L164</f>
        <v>361330.44</v>
      </c>
      <c r="Z164" s="6" t="n">
        <f aca="false">Y164/L164</f>
        <v>1.91741900316833</v>
      </c>
      <c r="AA164" s="3" t="n">
        <f aca="false">X164-P164</f>
        <v>14.23</v>
      </c>
      <c r="AB164" s="6" t="n">
        <f aca="false">AA164/P164</f>
        <v>0.758124667021843</v>
      </c>
    </row>
    <row r="165" customFormat="false" ht="12.75" hidden="false" customHeight="false" outlineLevel="0" collapsed="false">
      <c r="A165" s="0" t="s">
        <v>208</v>
      </c>
      <c r="B165" s="0" t="n">
        <v>3</v>
      </c>
      <c r="C165" s="0" t="s">
        <v>31</v>
      </c>
      <c r="D165" s="0" t="s">
        <v>31</v>
      </c>
      <c r="E165" s="0" t="n">
        <v>1000</v>
      </c>
      <c r="F165" s="0" t="n">
        <v>505</v>
      </c>
      <c r="G165" s="0" t="n">
        <v>15</v>
      </c>
      <c r="H165" s="0" t="n">
        <v>3</v>
      </c>
      <c r="I165" s="0" t="n">
        <v>3</v>
      </c>
      <c r="J165" s="0" t="n">
        <v>12</v>
      </c>
      <c r="K165" s="0" t="n">
        <v>0.7</v>
      </c>
      <c r="L165" s="1" t="n">
        <v>505</v>
      </c>
      <c r="M165" s="0" t="n">
        <v>0</v>
      </c>
      <c r="N165" s="0" t="n">
        <v>505</v>
      </c>
      <c r="O165" s="0" t="n">
        <v>175029</v>
      </c>
      <c r="P165" s="1" t="n">
        <v>5.16</v>
      </c>
      <c r="Q165" s="0" t="n">
        <v>0</v>
      </c>
      <c r="R165" s="0" t="n">
        <v>1</v>
      </c>
      <c r="S165" s="0" t="s">
        <v>42</v>
      </c>
      <c r="T165" s="0" t="str">
        <f aca="false">IF(L165="inf","False","True")</f>
        <v>True</v>
      </c>
      <c r="U165" s="0" t="str">
        <f aca="false">IF(V165="inf","False","True")</f>
        <v>True</v>
      </c>
      <c r="V165" s="4" t="n">
        <v>182321.03</v>
      </c>
      <c r="W165" s="4" t="n">
        <v>167165</v>
      </c>
      <c r="X165" s="0" t="n">
        <v>1.46</v>
      </c>
      <c r="Y165" s="5" t="n">
        <f aca="false">V165-L165</f>
        <v>181816.03</v>
      </c>
      <c r="Z165" s="6" t="n">
        <f aca="false">Y165/L165</f>
        <v>360.031742574257</v>
      </c>
      <c r="AA165" s="3" t="n">
        <f aca="false">X165-P165</f>
        <v>-3.7</v>
      </c>
      <c r="AB165" s="6" t="n">
        <f aca="false">AA165/P165</f>
        <v>-0.717054263565892</v>
      </c>
    </row>
    <row r="166" customFormat="false" ht="12.75" hidden="false" customHeight="false" outlineLevel="0" collapsed="false">
      <c r="A166" s="0" t="s">
        <v>209</v>
      </c>
      <c r="B166" s="0" t="n">
        <v>4</v>
      </c>
      <c r="C166" s="0" t="s">
        <v>31</v>
      </c>
      <c r="D166" s="0" t="s">
        <v>31</v>
      </c>
      <c r="E166" s="0" t="n">
        <v>1000</v>
      </c>
      <c r="F166" s="0" t="n">
        <v>550</v>
      </c>
      <c r="G166" s="0" t="n">
        <v>15</v>
      </c>
      <c r="H166" s="0" t="n">
        <v>3</v>
      </c>
      <c r="I166" s="0" t="n">
        <v>3</v>
      </c>
      <c r="J166" s="0" t="n">
        <v>12</v>
      </c>
      <c r="K166" s="0" t="n">
        <v>0.7</v>
      </c>
      <c r="L166" s="1" t="n">
        <v>550</v>
      </c>
      <c r="M166" s="0" t="n">
        <v>0</v>
      </c>
      <c r="N166" s="0" t="n">
        <v>550</v>
      </c>
      <c r="O166" s="0" t="n">
        <v>172367</v>
      </c>
      <c r="P166" s="1" t="n">
        <v>5.06</v>
      </c>
      <c r="Q166" s="0" t="n">
        <v>0</v>
      </c>
      <c r="R166" s="0" t="n">
        <v>1</v>
      </c>
      <c r="S166" s="0" t="s">
        <v>42</v>
      </c>
      <c r="T166" s="0" t="str">
        <f aca="false">IF(L166="inf","False","True")</f>
        <v>True</v>
      </c>
      <c r="U166" s="0" t="str">
        <f aca="false">IF(V166="inf","False","True")</f>
        <v>True</v>
      </c>
      <c r="V166" s="4" t="n">
        <v>41409.26</v>
      </c>
      <c r="W166" s="4" t="n">
        <v>172280.05</v>
      </c>
      <c r="X166" s="0" t="n">
        <v>90.81</v>
      </c>
      <c r="Y166" s="5" t="n">
        <f aca="false">V166-L166</f>
        <v>40859.26</v>
      </c>
      <c r="Z166" s="6" t="n">
        <f aca="false">Y166/L166</f>
        <v>74.2895636363636</v>
      </c>
      <c r="AA166" s="3" t="n">
        <f aca="false">X166-P166</f>
        <v>85.75</v>
      </c>
      <c r="AB166" s="6" t="n">
        <f aca="false">AA166/P166</f>
        <v>16.9466403162055</v>
      </c>
    </row>
    <row r="167" customFormat="false" ht="12.75" hidden="false" customHeight="false" outlineLevel="0" collapsed="false">
      <c r="A167" s="0" t="s">
        <v>210</v>
      </c>
      <c r="B167" s="0" t="n">
        <v>0</v>
      </c>
      <c r="C167" s="0" t="s">
        <v>31</v>
      </c>
      <c r="D167" s="0" t="s">
        <v>31</v>
      </c>
      <c r="E167" s="0" t="n">
        <v>1666</v>
      </c>
      <c r="F167" s="0" t="n">
        <v>866</v>
      </c>
      <c r="G167" s="0" t="n">
        <v>15</v>
      </c>
      <c r="H167" s="0" t="n">
        <v>3</v>
      </c>
      <c r="I167" s="0" t="n">
        <v>3</v>
      </c>
      <c r="J167" s="0" t="n">
        <v>12</v>
      </c>
      <c r="K167" s="0" t="n">
        <v>0.7</v>
      </c>
      <c r="L167" s="1" t="n">
        <v>866</v>
      </c>
      <c r="M167" s="0" t="n">
        <v>0</v>
      </c>
      <c r="N167" s="0" t="n">
        <v>866</v>
      </c>
      <c r="O167" s="0" t="n">
        <v>336456</v>
      </c>
      <c r="P167" s="1" t="n">
        <v>5.05</v>
      </c>
      <c r="Q167" s="0" t="n">
        <v>0</v>
      </c>
      <c r="R167" s="0" t="n">
        <v>1</v>
      </c>
      <c r="S167" s="0" t="s">
        <v>42</v>
      </c>
      <c r="T167" s="0" t="str">
        <f aca="false">IF(L167="inf","False","True")</f>
        <v>True</v>
      </c>
      <c r="U167" s="0" t="str">
        <f aca="false">IF(V167="inf","False","True")</f>
        <v>True</v>
      </c>
      <c r="V167" s="4" t="n">
        <v>515128.41</v>
      </c>
      <c r="W167" s="4" t="n">
        <v>316755.58</v>
      </c>
      <c r="X167" s="0" t="n">
        <v>2.22</v>
      </c>
      <c r="Y167" s="5" t="n">
        <f aca="false">V167-L167</f>
        <v>514262.41</v>
      </c>
      <c r="Z167" s="6" t="n">
        <f aca="false">Y167/L167</f>
        <v>593.836501154734</v>
      </c>
      <c r="AA167" s="3" t="n">
        <f aca="false">X167-P167</f>
        <v>-2.83</v>
      </c>
      <c r="AB167" s="6" t="n">
        <f aca="false">AA167/P167</f>
        <v>-0.56039603960396</v>
      </c>
    </row>
    <row r="168" customFormat="false" ht="12.75" hidden="false" customHeight="false" outlineLevel="0" collapsed="false">
      <c r="A168" s="0" t="s">
        <v>211</v>
      </c>
      <c r="B168" s="0" t="n">
        <v>1</v>
      </c>
      <c r="C168" s="0" t="s">
        <v>31</v>
      </c>
      <c r="D168" s="0" t="s">
        <v>31</v>
      </c>
      <c r="E168" s="0" t="n">
        <v>1666</v>
      </c>
      <c r="F168" s="0" t="n">
        <v>914</v>
      </c>
      <c r="G168" s="0" t="n">
        <v>15</v>
      </c>
      <c r="H168" s="0" t="n">
        <v>3</v>
      </c>
      <c r="I168" s="0" t="n">
        <v>3</v>
      </c>
      <c r="J168" s="0" t="n">
        <v>12</v>
      </c>
      <c r="K168" s="0" t="n">
        <v>0.7</v>
      </c>
      <c r="L168" s="1" t="n">
        <v>914</v>
      </c>
      <c r="M168" s="0" t="n">
        <v>0</v>
      </c>
      <c r="N168" s="0" t="n">
        <v>914</v>
      </c>
      <c r="O168" s="0" t="n">
        <v>328434</v>
      </c>
      <c r="P168" s="1" t="n">
        <v>5.72</v>
      </c>
      <c r="Q168" s="0" t="n">
        <v>0</v>
      </c>
      <c r="R168" s="0" t="n">
        <v>1</v>
      </c>
      <c r="S168" s="0" t="s">
        <v>42</v>
      </c>
      <c r="T168" s="0" t="str">
        <f aca="false">IF(L168="inf","False","True")</f>
        <v>True</v>
      </c>
      <c r="U168" s="0" t="str">
        <f aca="false">IF(V168="inf","False","True")</f>
        <v>True</v>
      </c>
      <c r="V168" s="4" t="n">
        <v>911574.07</v>
      </c>
      <c r="W168" s="4" t="n">
        <v>270229.11</v>
      </c>
      <c r="X168" s="0" t="n">
        <v>33.06</v>
      </c>
      <c r="Y168" s="5" t="n">
        <f aca="false">V168-L168</f>
        <v>910660.07</v>
      </c>
      <c r="Z168" s="6" t="n">
        <f aca="false">Y168/L168</f>
        <v>996.345809628009</v>
      </c>
      <c r="AA168" s="3" t="n">
        <f aca="false">X168-P168</f>
        <v>27.34</v>
      </c>
      <c r="AB168" s="6" t="n">
        <f aca="false">AA168/P168</f>
        <v>4.77972027972028</v>
      </c>
    </row>
    <row r="169" customFormat="false" ht="12.75" hidden="false" customHeight="false" outlineLevel="0" collapsed="false">
      <c r="A169" s="0" t="s">
        <v>212</v>
      </c>
      <c r="B169" s="0" t="n">
        <v>2</v>
      </c>
      <c r="C169" s="0" t="s">
        <v>31</v>
      </c>
      <c r="D169" s="0" t="s">
        <v>31</v>
      </c>
      <c r="E169" s="0" t="n">
        <v>1666</v>
      </c>
      <c r="F169" s="0" t="n">
        <v>871</v>
      </c>
      <c r="G169" s="0" t="n">
        <v>15</v>
      </c>
      <c r="H169" s="0" t="n">
        <v>3</v>
      </c>
      <c r="I169" s="0" t="n">
        <v>3</v>
      </c>
      <c r="J169" s="0" t="n">
        <v>12</v>
      </c>
      <c r="K169" s="0" t="n">
        <v>0.7</v>
      </c>
      <c r="L169" s="1" t="n">
        <v>314323.83</v>
      </c>
      <c r="M169" s="0" t="n">
        <v>313483.2</v>
      </c>
      <c r="N169" s="0" t="n">
        <v>840.64</v>
      </c>
      <c r="O169" s="0" t="n">
        <v>298989.84</v>
      </c>
      <c r="P169" s="1" t="n">
        <v>16.7</v>
      </c>
      <c r="Q169" s="0" t="n">
        <v>0</v>
      </c>
      <c r="R169" s="0" t="n">
        <v>2</v>
      </c>
      <c r="S169" s="0" t="s">
        <v>213</v>
      </c>
      <c r="T169" s="0" t="str">
        <f aca="false">IF(L169="inf","False","True")</f>
        <v>True</v>
      </c>
      <c r="U169" s="0" t="str">
        <f aca="false">IF(V169="inf","False","True")</f>
        <v>True</v>
      </c>
      <c r="V169" s="4" t="n">
        <v>948192.16</v>
      </c>
      <c r="W169" s="4" t="n">
        <v>258008.69</v>
      </c>
      <c r="X169" s="0" t="n">
        <v>34.94</v>
      </c>
      <c r="Y169" s="5" t="n">
        <f aca="false">V169-L169</f>
        <v>633868.33</v>
      </c>
      <c r="Z169" s="6" t="n">
        <f aca="false">Y169/L169</f>
        <v>2.01660920840778</v>
      </c>
      <c r="AA169" s="3" t="n">
        <f aca="false">X169-P169</f>
        <v>18.24</v>
      </c>
      <c r="AB169" s="6" t="n">
        <f aca="false">AA169/P169</f>
        <v>1.09221556886228</v>
      </c>
    </row>
    <row r="170" customFormat="false" ht="12.75" hidden="false" customHeight="false" outlineLevel="0" collapsed="false">
      <c r="A170" s="0" t="s">
        <v>214</v>
      </c>
      <c r="B170" s="0" t="n">
        <v>3</v>
      </c>
      <c r="C170" s="0" t="s">
        <v>31</v>
      </c>
      <c r="D170" s="0" t="s">
        <v>31</v>
      </c>
      <c r="E170" s="0" t="n">
        <v>1666</v>
      </c>
      <c r="F170" s="0" t="n">
        <v>843</v>
      </c>
      <c r="G170" s="0" t="n">
        <v>15</v>
      </c>
      <c r="H170" s="0" t="n">
        <v>3</v>
      </c>
      <c r="I170" s="0" t="n">
        <v>3</v>
      </c>
      <c r="J170" s="0" t="n">
        <v>12</v>
      </c>
      <c r="K170" s="0" t="n">
        <v>0.7</v>
      </c>
      <c r="L170" s="1" t="n">
        <v>843</v>
      </c>
      <c r="M170" s="0" t="n">
        <v>0</v>
      </c>
      <c r="N170" s="0" t="n">
        <v>843</v>
      </c>
      <c r="O170" s="0" t="n">
        <v>291674</v>
      </c>
      <c r="P170" s="1" t="n">
        <v>5.8</v>
      </c>
      <c r="Q170" s="0" t="n">
        <v>0</v>
      </c>
      <c r="R170" s="0" t="n">
        <v>1</v>
      </c>
      <c r="S170" s="0" t="s">
        <v>42</v>
      </c>
      <c r="T170" s="0" t="str">
        <f aca="false">IF(L170="inf","False","True")</f>
        <v>True</v>
      </c>
      <c r="U170" s="0" t="str">
        <f aca="false">IF(V170="inf","False","True")</f>
        <v>True</v>
      </c>
      <c r="V170" s="4" t="n">
        <v>379688.55</v>
      </c>
      <c r="W170" s="4" t="n">
        <v>278630</v>
      </c>
      <c r="X170" s="0" t="n">
        <v>2.29</v>
      </c>
      <c r="Y170" s="5" t="n">
        <f aca="false">V170-L170</f>
        <v>378845.55</v>
      </c>
      <c r="Z170" s="6" t="n">
        <f aca="false">Y170/L170</f>
        <v>449.401601423488</v>
      </c>
      <c r="AA170" s="3" t="n">
        <f aca="false">X170-P170</f>
        <v>-3.51</v>
      </c>
      <c r="AB170" s="6" t="n">
        <f aca="false">AA170/P170</f>
        <v>-0.605172413793103</v>
      </c>
    </row>
    <row r="171" customFormat="false" ht="12.75" hidden="false" customHeight="false" outlineLevel="0" collapsed="false">
      <c r="A171" s="0" t="s">
        <v>215</v>
      </c>
      <c r="B171" s="0" t="n">
        <v>4</v>
      </c>
      <c r="C171" s="0" t="s">
        <v>31</v>
      </c>
      <c r="D171" s="0" t="s">
        <v>31</v>
      </c>
      <c r="E171" s="0" t="n">
        <v>1666</v>
      </c>
      <c r="F171" s="0" t="n">
        <v>918</v>
      </c>
      <c r="G171" s="0" t="n">
        <v>15</v>
      </c>
      <c r="H171" s="0" t="n">
        <v>3</v>
      </c>
      <c r="I171" s="0" t="n">
        <v>3</v>
      </c>
      <c r="J171" s="0" t="n">
        <v>12</v>
      </c>
      <c r="K171" s="0" t="n">
        <v>0.7</v>
      </c>
      <c r="L171" s="1" t="n">
        <v>918</v>
      </c>
      <c r="M171" s="0" t="n">
        <v>0</v>
      </c>
      <c r="N171" s="0" t="n">
        <v>918</v>
      </c>
      <c r="O171" s="0" t="n">
        <v>287296</v>
      </c>
      <c r="P171" s="1" t="n">
        <v>5.1</v>
      </c>
      <c r="Q171" s="0" t="n">
        <v>0</v>
      </c>
      <c r="R171" s="0" t="n">
        <v>1</v>
      </c>
      <c r="S171" s="0" t="s">
        <v>42</v>
      </c>
      <c r="T171" s="0" t="str">
        <f aca="false">IF(L171="inf","False","True")</f>
        <v>True</v>
      </c>
      <c r="U171" s="0" t="str">
        <f aca="false">IF(V171="inf","False","True")</f>
        <v>True</v>
      </c>
      <c r="V171" s="4" t="n">
        <v>68190.36</v>
      </c>
      <c r="W171" s="4" t="n">
        <v>284684.25</v>
      </c>
      <c r="X171" s="0" t="n">
        <v>0</v>
      </c>
      <c r="Y171" s="5" t="n">
        <f aca="false">V171-L171</f>
        <v>67272.36</v>
      </c>
      <c r="Z171" s="6" t="n">
        <f aca="false">Y171/L171</f>
        <v>73.2814379084967</v>
      </c>
      <c r="AA171" s="3" t="n">
        <f aca="false">X171-P171</f>
        <v>-5.1</v>
      </c>
      <c r="AB171" s="6" t="n">
        <f aca="false">AA171/P171</f>
        <v>-1</v>
      </c>
    </row>
    <row r="172" customFormat="false" ht="12.75" hidden="false" customHeight="false" outlineLevel="0" collapsed="false">
      <c r="A172" s="0" t="s">
        <v>216</v>
      </c>
      <c r="B172" s="0" t="n">
        <v>0</v>
      </c>
      <c r="C172" s="0" t="s">
        <v>31</v>
      </c>
      <c r="D172" s="0" t="s">
        <v>31</v>
      </c>
      <c r="E172" s="0" t="n">
        <v>2333</v>
      </c>
      <c r="F172" s="0" t="n">
        <v>1213</v>
      </c>
      <c r="G172" s="0" t="n">
        <v>15</v>
      </c>
      <c r="H172" s="0" t="n">
        <v>3</v>
      </c>
      <c r="I172" s="0" t="n">
        <v>3</v>
      </c>
      <c r="J172" s="0" t="n">
        <v>12</v>
      </c>
      <c r="K172" s="0" t="n">
        <v>0.7</v>
      </c>
      <c r="L172" s="1" t="n">
        <v>1213</v>
      </c>
      <c r="M172" s="0" t="n">
        <v>0</v>
      </c>
      <c r="N172" s="0" t="n">
        <v>1213</v>
      </c>
      <c r="O172" s="0" t="n">
        <v>471076</v>
      </c>
      <c r="P172" s="1" t="n">
        <v>5.01</v>
      </c>
      <c r="Q172" s="0" t="n">
        <v>0</v>
      </c>
      <c r="R172" s="0" t="n">
        <v>1</v>
      </c>
      <c r="S172" s="0" t="s">
        <v>42</v>
      </c>
      <c r="T172" s="0" t="str">
        <f aca="false">IF(L172="inf","False","True")</f>
        <v>True</v>
      </c>
      <c r="U172" s="0" t="str">
        <f aca="false">IF(V172="inf","False","True")</f>
        <v>True</v>
      </c>
      <c r="V172" s="4" t="n">
        <v>1212626.03</v>
      </c>
      <c r="W172" s="4" t="n">
        <v>429630.68</v>
      </c>
      <c r="X172" s="0" t="n">
        <v>5.56</v>
      </c>
      <c r="Y172" s="5" t="n">
        <f aca="false">V172-L172</f>
        <v>1211413.03</v>
      </c>
      <c r="Z172" s="6" t="n">
        <f aca="false">Y172/L172</f>
        <v>998.691698268755</v>
      </c>
      <c r="AA172" s="3" t="n">
        <f aca="false">X172-P172</f>
        <v>0.55</v>
      </c>
      <c r="AB172" s="6" t="n">
        <f aca="false">AA172/P172</f>
        <v>0.109780439121756</v>
      </c>
    </row>
    <row r="173" customFormat="false" ht="12.75" hidden="false" customHeight="false" outlineLevel="0" collapsed="false">
      <c r="A173" s="0" t="s">
        <v>217</v>
      </c>
      <c r="B173" s="0" t="n">
        <v>1</v>
      </c>
      <c r="C173" s="0" t="s">
        <v>31</v>
      </c>
      <c r="D173" s="0" t="s">
        <v>31</v>
      </c>
      <c r="E173" s="0" t="n">
        <v>2333</v>
      </c>
      <c r="F173" s="0" t="n">
        <v>1281</v>
      </c>
      <c r="G173" s="0" t="n">
        <v>15</v>
      </c>
      <c r="H173" s="0" t="n">
        <v>3</v>
      </c>
      <c r="I173" s="0" t="n">
        <v>3</v>
      </c>
      <c r="J173" s="0" t="n">
        <v>12</v>
      </c>
      <c r="K173" s="0" t="n">
        <v>0.7</v>
      </c>
      <c r="L173" s="1" t="n">
        <v>1281</v>
      </c>
      <c r="M173" s="0" t="n">
        <v>0</v>
      </c>
      <c r="N173" s="0" t="n">
        <v>1281</v>
      </c>
      <c r="O173" s="0" t="n">
        <v>459770</v>
      </c>
      <c r="P173" s="1" t="n">
        <v>5.78</v>
      </c>
      <c r="Q173" s="0" t="n">
        <v>0</v>
      </c>
      <c r="R173" s="0" t="n">
        <v>1</v>
      </c>
      <c r="S173" s="0" t="s">
        <v>42</v>
      </c>
      <c r="T173" s="0" t="str">
        <f aca="false">IF(L173="inf","False","True")</f>
        <v>True</v>
      </c>
      <c r="U173" s="0" t="str">
        <f aca="false">IF(V173="inf","False","True")</f>
        <v>True</v>
      </c>
      <c r="V173" s="4" t="n">
        <v>1086232.85</v>
      </c>
      <c r="W173" s="4" t="n">
        <v>381212.8</v>
      </c>
      <c r="X173" s="0" t="n">
        <v>0</v>
      </c>
      <c r="Y173" s="5" t="n">
        <f aca="false">V173-L173</f>
        <v>1084951.85</v>
      </c>
      <c r="Z173" s="6" t="n">
        <f aca="false">Y173/L173</f>
        <v>846.956947697112</v>
      </c>
      <c r="AA173" s="3" t="n">
        <f aca="false">X173-P173</f>
        <v>-5.78</v>
      </c>
      <c r="AB173" s="6" t="n">
        <f aca="false">AA173/P173</f>
        <v>-1</v>
      </c>
    </row>
    <row r="174" customFormat="false" ht="12.75" hidden="false" customHeight="false" outlineLevel="0" collapsed="false">
      <c r="A174" s="0" t="s">
        <v>218</v>
      </c>
      <c r="B174" s="0" t="n">
        <v>2</v>
      </c>
      <c r="C174" s="0" t="s">
        <v>31</v>
      </c>
      <c r="D174" s="0" t="s">
        <v>31</v>
      </c>
      <c r="E174" s="0" t="n">
        <v>2333</v>
      </c>
      <c r="F174" s="0" t="n">
        <v>1221</v>
      </c>
      <c r="G174" s="0" t="n">
        <v>15</v>
      </c>
      <c r="H174" s="0" t="n">
        <v>3</v>
      </c>
      <c r="I174" s="0" t="n">
        <v>3</v>
      </c>
      <c r="J174" s="0" t="n">
        <v>12</v>
      </c>
      <c r="K174" s="0" t="n">
        <v>0.7</v>
      </c>
      <c r="L174" s="1" t="n">
        <v>439104.4</v>
      </c>
      <c r="M174" s="0" t="n">
        <v>437926.89</v>
      </c>
      <c r="N174" s="0" t="n">
        <v>1177.52</v>
      </c>
      <c r="O174" s="0" t="n">
        <v>418366.89</v>
      </c>
      <c r="P174" s="1" t="n">
        <v>13.39</v>
      </c>
      <c r="Q174" s="0" t="n">
        <v>0</v>
      </c>
      <c r="R174" s="0" t="n">
        <v>2</v>
      </c>
      <c r="S174" s="0" t="s">
        <v>219</v>
      </c>
      <c r="T174" s="0" t="str">
        <f aca="false">IF(L174="inf","False","True")</f>
        <v>True</v>
      </c>
      <c r="U174" s="0" t="str">
        <f aca="false">IF(V174="inf","False","True")</f>
        <v>True</v>
      </c>
      <c r="V174" s="4" t="n">
        <v>1272977.1</v>
      </c>
      <c r="W174" s="4" t="n">
        <v>363202.02</v>
      </c>
      <c r="X174" s="0" t="n">
        <v>38.18</v>
      </c>
      <c r="Y174" s="5" t="n">
        <f aca="false">V174-L174</f>
        <v>833872.7</v>
      </c>
      <c r="Z174" s="6" t="n">
        <f aca="false">Y174/L174</f>
        <v>1.89903061777564</v>
      </c>
      <c r="AA174" s="3" t="n">
        <f aca="false">X174-P174</f>
        <v>24.79</v>
      </c>
      <c r="AB174" s="6" t="n">
        <f aca="false">AA174/P174</f>
        <v>1.85138162808066</v>
      </c>
    </row>
    <row r="175" customFormat="false" ht="12.75" hidden="false" customHeight="false" outlineLevel="0" collapsed="false">
      <c r="A175" s="0" t="s">
        <v>220</v>
      </c>
      <c r="B175" s="0" t="n">
        <v>3</v>
      </c>
      <c r="C175" s="0" t="s">
        <v>31</v>
      </c>
      <c r="D175" s="0" t="s">
        <v>31</v>
      </c>
      <c r="E175" s="0" t="n">
        <v>2333</v>
      </c>
      <c r="F175" s="0" t="n">
        <v>1182</v>
      </c>
      <c r="G175" s="0" t="n">
        <v>15</v>
      </c>
      <c r="H175" s="0" t="n">
        <v>3</v>
      </c>
      <c r="I175" s="0" t="n">
        <v>3</v>
      </c>
      <c r="J175" s="0" t="n">
        <v>12</v>
      </c>
      <c r="K175" s="0" t="n">
        <v>0.7</v>
      </c>
      <c r="L175" s="1" t="n">
        <v>1182</v>
      </c>
      <c r="M175" s="0" t="n">
        <v>0</v>
      </c>
      <c r="N175" s="0" t="n">
        <v>1182</v>
      </c>
      <c r="O175" s="0" t="n">
        <v>408368</v>
      </c>
      <c r="P175" s="1" t="n">
        <v>5.85</v>
      </c>
      <c r="Q175" s="0" t="n">
        <v>0</v>
      </c>
      <c r="R175" s="0" t="n">
        <v>1</v>
      </c>
      <c r="S175" s="0" t="s">
        <v>42</v>
      </c>
      <c r="T175" s="0" t="str">
        <f aca="false">IF(L175="inf","False","True")</f>
        <v>True</v>
      </c>
      <c r="U175" s="0" t="str">
        <f aca="false">IF(V175="inf","False","True")</f>
        <v>True</v>
      </c>
      <c r="V175" s="4" t="n">
        <v>1093.4</v>
      </c>
      <c r="W175" s="4" t="n">
        <v>408368</v>
      </c>
      <c r="X175" s="0" t="n">
        <v>8.29</v>
      </c>
      <c r="Y175" s="5" t="n">
        <f aca="false">V175-L175</f>
        <v>-88.5999999999999</v>
      </c>
      <c r="Z175" s="6" t="n">
        <f aca="false">Y175/L175</f>
        <v>-0.0749576988155668</v>
      </c>
      <c r="AA175" s="3" t="n">
        <f aca="false">X175-P175</f>
        <v>2.44</v>
      </c>
      <c r="AB175" s="6" t="n">
        <f aca="false">AA175/P175</f>
        <v>0.417094017094017</v>
      </c>
    </row>
    <row r="176" customFormat="false" ht="12.75" hidden="false" customHeight="false" outlineLevel="0" collapsed="false">
      <c r="A176" s="0" t="s">
        <v>221</v>
      </c>
      <c r="B176" s="0" t="n">
        <v>4</v>
      </c>
      <c r="C176" s="0" t="s">
        <v>31</v>
      </c>
      <c r="D176" s="0" t="s">
        <v>31</v>
      </c>
      <c r="E176" s="0" t="n">
        <v>2333</v>
      </c>
      <c r="F176" s="0" t="n">
        <v>1287</v>
      </c>
      <c r="G176" s="0" t="n">
        <v>15</v>
      </c>
      <c r="H176" s="0" t="n">
        <v>3</v>
      </c>
      <c r="I176" s="0" t="n">
        <v>3</v>
      </c>
      <c r="J176" s="0" t="n">
        <v>12</v>
      </c>
      <c r="K176" s="0" t="n">
        <v>0.7</v>
      </c>
      <c r="L176" s="1" t="n">
        <v>1287</v>
      </c>
      <c r="M176" s="0" t="n">
        <v>0</v>
      </c>
      <c r="N176" s="0" t="n">
        <v>1287</v>
      </c>
      <c r="O176" s="0" t="n">
        <v>402198</v>
      </c>
      <c r="P176" s="1" t="n">
        <v>5.92</v>
      </c>
      <c r="Q176" s="0" t="n">
        <v>0</v>
      </c>
      <c r="R176" s="0" t="n">
        <v>1</v>
      </c>
      <c r="S176" s="0" t="s">
        <v>42</v>
      </c>
      <c r="T176" s="0" t="str">
        <f aca="false">IF(L176="inf","False","True")</f>
        <v>True</v>
      </c>
      <c r="U176" s="0" t="str">
        <f aca="false">IF(V176="inf","False","True")</f>
        <v>True</v>
      </c>
      <c r="V176" s="4" t="n">
        <v>539735.63</v>
      </c>
      <c r="W176" s="4" t="n">
        <v>408163.48</v>
      </c>
      <c r="X176" s="0" t="n">
        <v>194.67</v>
      </c>
      <c r="Y176" s="5" t="n">
        <f aca="false">V176-L176</f>
        <v>538448.63</v>
      </c>
      <c r="Z176" s="6" t="n">
        <f aca="false">Y176/L176</f>
        <v>418.375003885004</v>
      </c>
      <c r="AA176" s="3" t="n">
        <f aca="false">X176-P176</f>
        <v>188.75</v>
      </c>
      <c r="AB176" s="6" t="n">
        <f aca="false">AA176/P176</f>
        <v>31.8834459459459</v>
      </c>
    </row>
    <row r="177" customFormat="false" ht="12.75" hidden="false" customHeight="false" outlineLevel="0" collapsed="false">
      <c r="A177" s="0" t="s">
        <v>222</v>
      </c>
      <c r="B177" s="0" t="n">
        <v>0</v>
      </c>
      <c r="C177" s="0" t="s">
        <v>31</v>
      </c>
      <c r="D177" s="0" t="s">
        <v>31</v>
      </c>
      <c r="E177" s="0" t="n">
        <v>3333</v>
      </c>
      <c r="F177" s="0" t="n">
        <v>1735</v>
      </c>
      <c r="G177" s="0" t="n">
        <v>15</v>
      </c>
      <c r="H177" s="0" t="n">
        <v>3</v>
      </c>
      <c r="I177" s="0" t="n">
        <v>3</v>
      </c>
      <c r="J177" s="0" t="n">
        <v>12</v>
      </c>
      <c r="K177" s="0" t="n">
        <v>0.7</v>
      </c>
      <c r="L177" s="1" t="n">
        <v>1735</v>
      </c>
      <c r="M177" s="0" t="n">
        <v>0</v>
      </c>
      <c r="N177" s="0" t="n">
        <v>1735</v>
      </c>
      <c r="O177" s="0" t="n">
        <v>672990</v>
      </c>
      <c r="P177" s="1" t="n">
        <v>5.75</v>
      </c>
      <c r="Q177" s="0" t="n">
        <v>0</v>
      </c>
      <c r="R177" s="0" t="n">
        <v>1</v>
      </c>
      <c r="S177" s="0" t="s">
        <v>42</v>
      </c>
      <c r="T177" s="0" t="str">
        <f aca="false">IF(L177="inf","False","True")</f>
        <v>True</v>
      </c>
      <c r="U177" s="0" t="str">
        <f aca="false">IF(V177="inf","False","True")</f>
        <v>True</v>
      </c>
      <c r="V177" s="4" t="n">
        <v>1148675.48</v>
      </c>
      <c r="W177" s="4" t="n">
        <v>628488.55</v>
      </c>
      <c r="X177" s="0" t="n">
        <v>2.92</v>
      </c>
      <c r="Y177" s="5" t="n">
        <f aca="false">V177-L177</f>
        <v>1146940.48</v>
      </c>
      <c r="Z177" s="6" t="n">
        <f aca="false">Y177/L177</f>
        <v>661.060795389049</v>
      </c>
      <c r="AA177" s="3" t="n">
        <f aca="false">X177-P177</f>
        <v>-2.83</v>
      </c>
      <c r="AB177" s="6" t="n">
        <f aca="false">AA177/P177</f>
        <v>-0.492173913043478</v>
      </c>
    </row>
    <row r="178" customFormat="false" ht="12.75" hidden="false" customHeight="false" outlineLevel="0" collapsed="false">
      <c r="A178" s="0" t="s">
        <v>223</v>
      </c>
      <c r="B178" s="0" t="n">
        <v>1</v>
      </c>
      <c r="C178" s="0" t="s">
        <v>31</v>
      </c>
      <c r="D178" s="0" t="s">
        <v>31</v>
      </c>
      <c r="E178" s="0" t="n">
        <v>3333</v>
      </c>
      <c r="F178" s="0" t="n">
        <v>1833</v>
      </c>
      <c r="G178" s="0" t="n">
        <v>15</v>
      </c>
      <c r="H178" s="0" t="n">
        <v>3</v>
      </c>
      <c r="I178" s="0" t="n">
        <v>3</v>
      </c>
      <c r="J178" s="0" t="n">
        <v>12</v>
      </c>
      <c r="K178" s="0" t="n">
        <v>0.7</v>
      </c>
      <c r="L178" s="1" t="n">
        <v>1833</v>
      </c>
      <c r="M178" s="0" t="n">
        <v>0</v>
      </c>
      <c r="N178" s="0" t="n">
        <v>1833</v>
      </c>
      <c r="O178" s="0" t="n">
        <v>656876</v>
      </c>
      <c r="P178" s="1" t="n">
        <v>5.84</v>
      </c>
      <c r="Q178" s="0" t="n">
        <v>0</v>
      </c>
      <c r="R178" s="0" t="n">
        <v>1</v>
      </c>
      <c r="S178" s="0" t="s">
        <v>42</v>
      </c>
      <c r="T178" s="0" t="str">
        <f aca="false">IF(L178="inf","False","True")</f>
        <v>True</v>
      </c>
      <c r="U178" s="0" t="str">
        <f aca="false">IF(V178="inf","False","True")</f>
        <v>True</v>
      </c>
      <c r="V178" s="4" t="n">
        <v>1543610.45</v>
      </c>
      <c r="W178" s="4" t="n">
        <v>550659.85</v>
      </c>
      <c r="X178" s="0" t="n">
        <v>5.98</v>
      </c>
      <c r="Y178" s="5" t="n">
        <f aca="false">V178-L178</f>
        <v>1541777.45</v>
      </c>
      <c r="Z178" s="6" t="n">
        <f aca="false">Y178/L178</f>
        <v>841.122449536279</v>
      </c>
      <c r="AA178" s="3" t="n">
        <f aca="false">X178-P178</f>
        <v>0.140000000000001</v>
      </c>
      <c r="AB178" s="6" t="n">
        <f aca="false">AA178/P178</f>
        <v>0.0239726027397261</v>
      </c>
    </row>
    <row r="179" customFormat="false" ht="12.75" hidden="false" customHeight="false" outlineLevel="0" collapsed="false">
      <c r="A179" s="0" t="s">
        <v>224</v>
      </c>
      <c r="B179" s="0" t="n">
        <v>2</v>
      </c>
      <c r="C179" s="0" t="s">
        <v>31</v>
      </c>
      <c r="D179" s="0" t="s">
        <v>31</v>
      </c>
      <c r="E179" s="0" t="n">
        <v>3333</v>
      </c>
      <c r="F179" s="0" t="n">
        <v>1747</v>
      </c>
      <c r="G179" s="0" t="n">
        <v>15</v>
      </c>
      <c r="H179" s="0" t="n">
        <v>3</v>
      </c>
      <c r="I179" s="0" t="n">
        <v>3</v>
      </c>
      <c r="J179" s="0" t="n">
        <v>12</v>
      </c>
      <c r="K179" s="0" t="n">
        <v>0.7</v>
      </c>
      <c r="L179" s="1" t="n">
        <v>759259.72</v>
      </c>
      <c r="M179" s="0" t="n">
        <v>757575.87</v>
      </c>
      <c r="N179" s="0" t="n">
        <v>1683.86</v>
      </c>
      <c r="O179" s="0" t="n">
        <v>590295.86</v>
      </c>
      <c r="P179" s="1" t="n">
        <v>10.77</v>
      </c>
      <c r="Q179" s="0" t="n">
        <v>0</v>
      </c>
      <c r="R179" s="0" t="n">
        <v>1</v>
      </c>
      <c r="S179" s="0" t="s">
        <v>42</v>
      </c>
      <c r="T179" s="0" t="str">
        <f aca="false">IF(L179="inf","False","True")</f>
        <v>True</v>
      </c>
      <c r="U179" s="0" t="str">
        <f aca="false">IF(V179="inf","False","True")</f>
        <v>True</v>
      </c>
      <c r="V179" s="4" t="n">
        <v>1313716.44</v>
      </c>
      <c r="W179" s="4" t="n">
        <v>547668.95</v>
      </c>
      <c r="X179" s="0" t="n">
        <v>26.81</v>
      </c>
      <c r="Y179" s="5" t="n">
        <f aca="false">V179-L179</f>
        <v>554456.72</v>
      </c>
      <c r="Z179" s="6" t="n">
        <f aca="false">Y179/L179</f>
        <v>0.730259627100987</v>
      </c>
      <c r="AA179" s="3" t="n">
        <f aca="false">X179-P179</f>
        <v>16.04</v>
      </c>
      <c r="AB179" s="6" t="n">
        <f aca="false">AA179/P179</f>
        <v>1.48932219127205</v>
      </c>
    </row>
    <row r="180" customFormat="false" ht="12.75" hidden="false" customHeight="false" outlineLevel="0" collapsed="false">
      <c r="A180" s="0" t="s">
        <v>225</v>
      </c>
      <c r="B180" s="0" t="n">
        <v>3</v>
      </c>
      <c r="C180" s="0" t="s">
        <v>31</v>
      </c>
      <c r="D180" s="0" t="s">
        <v>31</v>
      </c>
      <c r="E180" s="0" t="n">
        <v>3333</v>
      </c>
      <c r="F180" s="0" t="n">
        <v>1692</v>
      </c>
      <c r="G180" s="0" t="n">
        <v>15</v>
      </c>
      <c r="H180" s="0" t="n">
        <v>3</v>
      </c>
      <c r="I180" s="0" t="n">
        <v>3</v>
      </c>
      <c r="J180" s="0" t="n">
        <v>12</v>
      </c>
      <c r="K180" s="0" t="n">
        <v>0.7</v>
      </c>
      <c r="L180" s="1" t="n">
        <v>1692</v>
      </c>
      <c r="M180" s="0" t="n">
        <v>0</v>
      </c>
      <c r="N180" s="0" t="n">
        <v>1692</v>
      </c>
      <c r="O180" s="0" t="n">
        <v>583435</v>
      </c>
      <c r="P180" s="1" t="n">
        <v>5.27</v>
      </c>
      <c r="Q180" s="0" t="n">
        <v>0</v>
      </c>
      <c r="R180" s="0" t="n">
        <v>1</v>
      </c>
      <c r="S180" s="0" t="s">
        <v>42</v>
      </c>
      <c r="T180" s="0" t="str">
        <f aca="false">IF(L180="inf","False","True")</f>
        <v>True</v>
      </c>
      <c r="U180" s="0" t="str">
        <f aca="false">IF(V180="inf","False","True")</f>
        <v>True</v>
      </c>
      <c r="V180" s="4" t="n">
        <v>907686.14</v>
      </c>
      <c r="W180" s="4" t="n">
        <v>553927</v>
      </c>
      <c r="X180" s="0" t="n">
        <v>15.94</v>
      </c>
      <c r="Y180" s="5" t="n">
        <f aca="false">V180-L180</f>
        <v>905994.14</v>
      </c>
      <c r="Z180" s="6" t="n">
        <f aca="false">Y180/L180</f>
        <v>535.457529550827</v>
      </c>
      <c r="AA180" s="3" t="n">
        <f aca="false">X180-P180</f>
        <v>10.67</v>
      </c>
      <c r="AB180" s="6" t="n">
        <f aca="false">AA180/P180</f>
        <v>2.0246679316888</v>
      </c>
    </row>
    <row r="181" customFormat="false" ht="12.75" hidden="false" customHeight="false" outlineLevel="0" collapsed="false">
      <c r="A181" s="0" t="s">
        <v>226</v>
      </c>
      <c r="B181" s="0" t="n">
        <v>4</v>
      </c>
      <c r="C181" s="0" t="s">
        <v>31</v>
      </c>
      <c r="D181" s="0" t="s">
        <v>31</v>
      </c>
      <c r="E181" s="0" t="n">
        <v>3333</v>
      </c>
      <c r="F181" s="0" t="n">
        <v>1841</v>
      </c>
      <c r="G181" s="0" t="n">
        <v>15</v>
      </c>
      <c r="H181" s="0" t="n">
        <v>3</v>
      </c>
      <c r="I181" s="0" t="n">
        <v>3</v>
      </c>
      <c r="J181" s="0" t="n">
        <v>12</v>
      </c>
      <c r="K181" s="0" t="n">
        <v>0.7</v>
      </c>
      <c r="L181" s="1" t="n">
        <v>1841</v>
      </c>
      <c r="M181" s="0" t="n">
        <v>0</v>
      </c>
      <c r="N181" s="0" t="n">
        <v>1841</v>
      </c>
      <c r="O181" s="0" t="n">
        <v>574592</v>
      </c>
      <c r="P181" s="1" t="n">
        <v>6.24</v>
      </c>
      <c r="Q181" s="0" t="n">
        <v>0</v>
      </c>
      <c r="R181" s="0" t="n">
        <v>23</v>
      </c>
      <c r="S181" s="0" t="s">
        <v>42</v>
      </c>
      <c r="T181" s="0" t="str">
        <f aca="false">IF(L181="inf","False","True")</f>
        <v>True</v>
      </c>
      <c r="U181" s="0" t="str">
        <f aca="false">IF(V181="inf","False","True")</f>
        <v>True</v>
      </c>
      <c r="V181" s="4" t="n">
        <v>650487.5</v>
      </c>
      <c r="W181" s="4" t="n">
        <v>532718.39</v>
      </c>
      <c r="X181" s="0" t="n">
        <v>12.65</v>
      </c>
      <c r="Y181" s="5" t="n">
        <f aca="false">V181-L181</f>
        <v>648646.5</v>
      </c>
      <c r="Z181" s="6" t="n">
        <f aca="false">Y181/L181</f>
        <v>352.333785985877</v>
      </c>
      <c r="AA181" s="3" t="n">
        <f aca="false">X181-P181</f>
        <v>6.41</v>
      </c>
      <c r="AB181" s="6" t="n">
        <f aca="false">AA181/P181</f>
        <v>1.02724358974359</v>
      </c>
    </row>
    <row r="182" customFormat="false" ht="12.75" hidden="false" customHeight="false" outlineLevel="0" collapsed="false">
      <c r="A182" s="0" t="s">
        <v>227</v>
      </c>
      <c r="B182" s="0" t="n">
        <v>0</v>
      </c>
      <c r="C182" s="0" t="s">
        <v>31</v>
      </c>
      <c r="D182" s="0" t="s">
        <v>31</v>
      </c>
      <c r="E182" s="0" t="n">
        <v>500</v>
      </c>
      <c r="F182" s="0" t="n">
        <v>1224</v>
      </c>
      <c r="G182" s="0" t="n">
        <v>5</v>
      </c>
      <c r="H182" s="0" t="n">
        <v>6</v>
      </c>
      <c r="I182" s="0" t="n">
        <v>6</v>
      </c>
      <c r="J182" s="0" t="n">
        <v>4</v>
      </c>
      <c r="K182" s="0" t="n">
        <v>0.7</v>
      </c>
      <c r="L182" s="1" t="n">
        <v>74651.8</v>
      </c>
      <c r="M182" s="0" t="n">
        <v>73473.51</v>
      </c>
      <c r="N182" s="0" t="n">
        <v>1178.29</v>
      </c>
      <c r="O182" s="0" t="n">
        <v>29944.15</v>
      </c>
      <c r="P182" s="1" t="n">
        <v>5.92</v>
      </c>
      <c r="Q182" s="0" t="n">
        <v>0</v>
      </c>
      <c r="R182" s="0" t="n">
        <v>6</v>
      </c>
      <c r="S182" s="0" t="s">
        <v>32</v>
      </c>
      <c r="T182" s="0" t="str">
        <f aca="false">IF(L182="inf","False","True")</f>
        <v>True</v>
      </c>
      <c r="U182" s="0" t="str">
        <f aca="false">IF(V182="inf","False","True")</f>
        <v>False</v>
      </c>
      <c r="V182" s="4" t="s">
        <v>37</v>
      </c>
      <c r="W182" s="4" t="s">
        <v>37</v>
      </c>
      <c r="X182" s="0" t="n">
        <v>6.39</v>
      </c>
      <c r="Y182" s="5" t="e">
        <f aca="false">V182-L182</f>
        <v>#VALUE!</v>
      </c>
      <c r="Z182" s="6" t="e">
        <f aca="false">Y182/L182</f>
        <v>#VALUE!</v>
      </c>
      <c r="AA182" s="3" t="n">
        <f aca="false">X182-P182</f>
        <v>0.47</v>
      </c>
      <c r="AB182" s="6" t="n">
        <f aca="false">AA182/P182</f>
        <v>0.0793918918918918</v>
      </c>
    </row>
    <row r="183" customFormat="false" ht="12.75" hidden="false" customHeight="false" outlineLevel="0" collapsed="false">
      <c r="A183" s="0" t="s">
        <v>228</v>
      </c>
      <c r="B183" s="0" t="n">
        <v>1</v>
      </c>
      <c r="C183" s="0" t="s">
        <v>31</v>
      </c>
      <c r="D183" s="0" t="s">
        <v>31</v>
      </c>
      <c r="E183" s="0" t="n">
        <v>500</v>
      </c>
      <c r="F183" s="0" t="n">
        <v>1321</v>
      </c>
      <c r="G183" s="0" t="n">
        <v>5</v>
      </c>
      <c r="H183" s="0" t="n">
        <v>6</v>
      </c>
      <c r="I183" s="0" t="n">
        <v>6</v>
      </c>
      <c r="J183" s="0" t="n">
        <v>4</v>
      </c>
      <c r="K183" s="0" t="n">
        <v>0.7</v>
      </c>
      <c r="L183" s="1" t="n">
        <v>96684.29</v>
      </c>
      <c r="M183" s="0" t="n">
        <v>95391.64</v>
      </c>
      <c r="N183" s="0" t="n">
        <v>1292.65</v>
      </c>
      <c r="O183" s="0" t="n">
        <v>29569.88</v>
      </c>
      <c r="P183" s="1" t="n">
        <v>7.9</v>
      </c>
      <c r="Q183" s="0" t="n">
        <v>0</v>
      </c>
      <c r="R183" s="0" t="n">
        <v>5</v>
      </c>
      <c r="S183" s="0" t="s">
        <v>32</v>
      </c>
      <c r="T183" s="0" t="str">
        <f aca="false">IF(L183="inf","False","True")</f>
        <v>True</v>
      </c>
      <c r="U183" s="0" t="str">
        <f aca="false">IF(V183="inf","False","True")</f>
        <v>False</v>
      </c>
      <c r="V183" s="4" t="s">
        <v>37</v>
      </c>
      <c r="W183" s="4" t="s">
        <v>37</v>
      </c>
      <c r="X183" s="0" t="n">
        <v>5.4</v>
      </c>
      <c r="Y183" s="5" t="e">
        <f aca="false">V183-L183</f>
        <v>#VALUE!</v>
      </c>
      <c r="Z183" s="6" t="e">
        <f aca="false">Y183/L183</f>
        <v>#VALUE!</v>
      </c>
      <c r="AA183" s="3" t="n">
        <f aca="false">X183-P183</f>
        <v>-2.5</v>
      </c>
      <c r="AB183" s="6" t="n">
        <f aca="false">AA183/P183</f>
        <v>-0.316455696202532</v>
      </c>
    </row>
    <row r="184" customFormat="false" ht="12.75" hidden="false" customHeight="false" outlineLevel="0" collapsed="false">
      <c r="A184" s="0" t="s">
        <v>229</v>
      </c>
      <c r="B184" s="0" t="n">
        <v>2</v>
      </c>
      <c r="C184" s="0" t="s">
        <v>31</v>
      </c>
      <c r="D184" s="0" t="s">
        <v>31</v>
      </c>
      <c r="E184" s="0" t="n">
        <v>500</v>
      </c>
      <c r="F184" s="0" t="n">
        <v>1313</v>
      </c>
      <c r="G184" s="0" t="n">
        <v>5</v>
      </c>
      <c r="H184" s="0" t="n">
        <v>6</v>
      </c>
      <c r="I184" s="0" t="n">
        <v>6</v>
      </c>
      <c r="J184" s="0" t="n">
        <v>4</v>
      </c>
      <c r="K184" s="0" t="n">
        <v>0.7</v>
      </c>
      <c r="L184" s="1" t="n">
        <v>104993.64</v>
      </c>
      <c r="M184" s="0" t="n">
        <v>103735.3</v>
      </c>
      <c r="N184" s="0" t="n">
        <v>1258.35</v>
      </c>
      <c r="O184" s="0" t="n">
        <v>30373.53</v>
      </c>
      <c r="P184" s="1" t="n">
        <v>5.61</v>
      </c>
      <c r="Q184" s="0" t="n">
        <v>0</v>
      </c>
      <c r="R184" s="0" t="n">
        <v>2</v>
      </c>
      <c r="S184" s="0" t="s">
        <v>32</v>
      </c>
      <c r="T184" s="0" t="str">
        <f aca="false">IF(L184="inf","False","True")</f>
        <v>True</v>
      </c>
      <c r="U184" s="0" t="str">
        <f aca="false">IF(V184="inf","False","True")</f>
        <v>False</v>
      </c>
      <c r="V184" s="4" t="s">
        <v>37</v>
      </c>
      <c r="W184" s="4" t="s">
        <v>37</v>
      </c>
      <c r="X184" s="0" t="n">
        <v>6.17</v>
      </c>
      <c r="Y184" s="5" t="e">
        <f aca="false">V184-L184</f>
        <v>#VALUE!</v>
      </c>
      <c r="Z184" s="6" t="e">
        <f aca="false">Y184/L184</f>
        <v>#VALUE!</v>
      </c>
      <c r="AA184" s="3" t="n">
        <f aca="false">X184-P184</f>
        <v>0.56</v>
      </c>
      <c r="AB184" s="6" t="n">
        <f aca="false">AA184/P184</f>
        <v>0.0998217468805703</v>
      </c>
    </row>
    <row r="185" customFormat="false" ht="12.75" hidden="false" customHeight="false" outlineLevel="0" collapsed="false">
      <c r="A185" s="0" t="s">
        <v>230</v>
      </c>
      <c r="B185" s="0" t="n">
        <v>3</v>
      </c>
      <c r="C185" s="0" t="s">
        <v>31</v>
      </c>
      <c r="D185" s="0" t="s">
        <v>31</v>
      </c>
      <c r="E185" s="0" t="n">
        <v>500</v>
      </c>
      <c r="F185" s="0" t="n">
        <v>1302</v>
      </c>
      <c r="G185" s="0" t="n">
        <v>5</v>
      </c>
      <c r="H185" s="0" t="n">
        <v>6</v>
      </c>
      <c r="I185" s="0" t="n">
        <v>6</v>
      </c>
      <c r="J185" s="0" t="n">
        <v>4</v>
      </c>
      <c r="K185" s="0" t="n">
        <v>0.7</v>
      </c>
      <c r="L185" s="1" t="n">
        <v>1302</v>
      </c>
      <c r="M185" s="0" t="n">
        <v>0</v>
      </c>
      <c r="N185" s="0" t="n">
        <v>1302</v>
      </c>
      <c r="O185" s="0" t="n">
        <v>27830</v>
      </c>
      <c r="P185" s="1" t="n">
        <v>2.13</v>
      </c>
      <c r="Q185" s="0" t="n">
        <v>0</v>
      </c>
      <c r="R185" s="0" t="n">
        <v>1</v>
      </c>
      <c r="S185" s="0" t="s">
        <v>42</v>
      </c>
      <c r="T185" s="0" t="str">
        <f aca="false">IF(L185="inf","False","True")</f>
        <v>True</v>
      </c>
      <c r="U185" s="0" t="str">
        <f aca="false">IF(V185="inf","False","True")</f>
        <v>True</v>
      </c>
      <c r="V185" s="4" t="n">
        <v>948.41</v>
      </c>
      <c r="W185" s="4" t="n">
        <v>27830</v>
      </c>
      <c r="X185" s="0" t="n">
        <v>2.87</v>
      </c>
      <c r="Y185" s="5" t="n">
        <f aca="false">V185-L185</f>
        <v>-353.59</v>
      </c>
      <c r="Z185" s="6" t="n">
        <f aca="false">Y185/L185</f>
        <v>-0.271574500768049</v>
      </c>
      <c r="AA185" s="3" t="n">
        <f aca="false">X185-P185</f>
        <v>0.74</v>
      </c>
      <c r="AB185" s="6" t="n">
        <f aca="false">AA185/P185</f>
        <v>0.347417840375587</v>
      </c>
    </row>
    <row r="186" customFormat="false" ht="12.75" hidden="false" customHeight="false" outlineLevel="0" collapsed="false">
      <c r="A186" s="0" t="s">
        <v>231</v>
      </c>
      <c r="B186" s="0" t="n">
        <v>4</v>
      </c>
      <c r="C186" s="0" t="s">
        <v>31</v>
      </c>
      <c r="D186" s="0" t="s">
        <v>31</v>
      </c>
      <c r="E186" s="0" t="n">
        <v>500</v>
      </c>
      <c r="F186" s="0" t="n">
        <v>1397</v>
      </c>
      <c r="G186" s="0" t="n">
        <v>5</v>
      </c>
      <c r="H186" s="0" t="n">
        <v>6</v>
      </c>
      <c r="I186" s="0" t="n">
        <v>6</v>
      </c>
      <c r="J186" s="0" t="n">
        <v>4</v>
      </c>
      <c r="K186" s="0" t="n">
        <v>0.7</v>
      </c>
      <c r="L186" s="1" t="n">
        <v>1397</v>
      </c>
      <c r="M186" s="0" t="n">
        <v>0</v>
      </c>
      <c r="N186" s="0" t="n">
        <v>1397</v>
      </c>
      <c r="O186" s="0" t="n">
        <v>28539</v>
      </c>
      <c r="P186" s="1" t="n">
        <v>2.73</v>
      </c>
      <c r="Q186" s="0" t="n">
        <v>0</v>
      </c>
      <c r="R186" s="0" t="n">
        <v>2</v>
      </c>
      <c r="S186" s="0" t="s">
        <v>42</v>
      </c>
      <c r="T186" s="0" t="str">
        <f aca="false">IF(L186="inf","False","True")</f>
        <v>True</v>
      </c>
      <c r="U186" s="0" t="str">
        <f aca="false">IF(V186="inf","False","True")</f>
        <v>False</v>
      </c>
      <c r="V186" s="4" t="s">
        <v>37</v>
      </c>
      <c r="W186" s="4" t="s">
        <v>37</v>
      </c>
      <c r="X186" s="0" t="n">
        <v>6.01</v>
      </c>
      <c r="Y186" s="5" t="e">
        <f aca="false">V186-L186</f>
        <v>#VALUE!</v>
      </c>
      <c r="Z186" s="6" t="e">
        <f aca="false">Y186/L186</f>
        <v>#VALUE!</v>
      </c>
      <c r="AA186" s="3" t="n">
        <f aca="false">X186-P186</f>
        <v>3.28</v>
      </c>
      <c r="AB186" s="6" t="n">
        <f aca="false">AA186/P186</f>
        <v>1.2014652014652</v>
      </c>
    </row>
    <row r="187" customFormat="false" ht="12.75" hidden="false" customHeight="false" outlineLevel="0" collapsed="false">
      <c r="A187" s="0" t="s">
        <v>232</v>
      </c>
      <c r="B187" s="0" t="n">
        <v>0</v>
      </c>
      <c r="C187" s="0" t="s">
        <v>31</v>
      </c>
      <c r="D187" s="0" t="s">
        <v>31</v>
      </c>
      <c r="E187" s="0" t="n">
        <v>833</v>
      </c>
      <c r="F187" s="0" t="n">
        <v>2043</v>
      </c>
      <c r="G187" s="0" t="n">
        <v>5</v>
      </c>
      <c r="H187" s="0" t="n">
        <v>6</v>
      </c>
      <c r="I187" s="0" t="n">
        <v>6</v>
      </c>
      <c r="J187" s="0" t="n">
        <v>4</v>
      </c>
      <c r="K187" s="0" t="n">
        <v>0.7</v>
      </c>
      <c r="L187" s="1" t="n">
        <v>159991.69</v>
      </c>
      <c r="M187" s="0" t="n">
        <v>158066.29</v>
      </c>
      <c r="N187" s="0" t="n">
        <v>1925.4</v>
      </c>
      <c r="O187" s="0" t="n">
        <v>50778.82</v>
      </c>
      <c r="P187" s="1" t="n">
        <v>5.58</v>
      </c>
      <c r="Q187" s="0" t="n">
        <v>0</v>
      </c>
      <c r="R187" s="0" t="n">
        <v>9</v>
      </c>
      <c r="S187" s="0" t="s">
        <v>32</v>
      </c>
      <c r="T187" s="0" t="str">
        <f aca="false">IF(L187="inf","False","True")</f>
        <v>True</v>
      </c>
      <c r="U187" s="0" t="str">
        <f aca="false">IF(V187="inf","False","True")</f>
        <v>False</v>
      </c>
      <c r="V187" s="4" t="s">
        <v>37</v>
      </c>
      <c r="W187" s="4" t="s">
        <v>37</v>
      </c>
      <c r="X187" s="0" t="n">
        <v>6.4</v>
      </c>
      <c r="Y187" s="5" t="e">
        <f aca="false">V187-L187</f>
        <v>#VALUE!</v>
      </c>
      <c r="Z187" s="6" t="e">
        <f aca="false">Y187/L187</f>
        <v>#VALUE!</v>
      </c>
      <c r="AA187" s="3" t="n">
        <f aca="false">X187-P187</f>
        <v>0.82</v>
      </c>
      <c r="AB187" s="6" t="n">
        <f aca="false">AA187/P187</f>
        <v>0.146953405017921</v>
      </c>
    </row>
    <row r="188" customFormat="false" ht="12.75" hidden="false" customHeight="false" outlineLevel="0" collapsed="false">
      <c r="A188" s="0" t="s">
        <v>233</v>
      </c>
      <c r="B188" s="0" t="n">
        <v>1</v>
      </c>
      <c r="C188" s="0" t="s">
        <v>31</v>
      </c>
      <c r="D188" s="0" t="s">
        <v>31</v>
      </c>
      <c r="E188" s="0" t="n">
        <v>833</v>
      </c>
      <c r="F188" s="0" t="n">
        <v>2201</v>
      </c>
      <c r="G188" s="0" t="n">
        <v>5</v>
      </c>
      <c r="H188" s="0" t="n">
        <v>6</v>
      </c>
      <c r="I188" s="0" t="n">
        <v>6</v>
      </c>
      <c r="J188" s="0" t="n">
        <v>4</v>
      </c>
      <c r="K188" s="0" t="n">
        <v>0.7</v>
      </c>
      <c r="L188" s="1" t="n">
        <v>155890.79</v>
      </c>
      <c r="M188" s="0" t="n">
        <v>153749.62</v>
      </c>
      <c r="N188" s="0" t="n">
        <v>2141.17</v>
      </c>
      <c r="O188" s="0" t="n">
        <v>50538.62</v>
      </c>
      <c r="P188" s="1" t="n">
        <v>11.23</v>
      </c>
      <c r="Q188" s="0" t="n">
        <v>0</v>
      </c>
      <c r="R188" s="0" t="n">
        <v>7</v>
      </c>
      <c r="S188" s="0" t="s">
        <v>32</v>
      </c>
      <c r="T188" s="0" t="str">
        <f aca="false">IF(L188="inf","False","True")</f>
        <v>True</v>
      </c>
      <c r="U188" s="0" t="str">
        <f aca="false">IF(V188="inf","False","True")</f>
        <v>False</v>
      </c>
      <c r="V188" s="4" t="s">
        <v>37</v>
      </c>
      <c r="W188" s="4" t="s">
        <v>37</v>
      </c>
      <c r="X188" s="0" t="n">
        <v>5.46</v>
      </c>
      <c r="Y188" s="5" t="e">
        <f aca="false">V188-L188</f>
        <v>#VALUE!</v>
      </c>
      <c r="Z188" s="6" t="e">
        <f aca="false">Y188/L188</f>
        <v>#VALUE!</v>
      </c>
      <c r="AA188" s="3" t="n">
        <f aca="false">X188-P188</f>
        <v>-5.77</v>
      </c>
      <c r="AB188" s="6" t="n">
        <f aca="false">AA188/P188</f>
        <v>-0.51380231522707</v>
      </c>
    </row>
    <row r="189" customFormat="false" ht="12.75" hidden="false" customHeight="false" outlineLevel="0" collapsed="false">
      <c r="A189" s="0" t="s">
        <v>234</v>
      </c>
      <c r="B189" s="0" t="n">
        <v>2</v>
      </c>
      <c r="C189" s="0" t="s">
        <v>31</v>
      </c>
      <c r="D189" s="0" t="s">
        <v>31</v>
      </c>
      <c r="E189" s="0" t="n">
        <v>833</v>
      </c>
      <c r="F189" s="0" t="n">
        <v>2191</v>
      </c>
      <c r="G189" s="0" t="n">
        <v>5</v>
      </c>
      <c r="H189" s="0" t="n">
        <v>6</v>
      </c>
      <c r="I189" s="0" t="n">
        <v>6</v>
      </c>
      <c r="J189" s="0" t="n">
        <v>4</v>
      </c>
      <c r="K189" s="0" t="n">
        <v>0.7</v>
      </c>
      <c r="L189" s="1" t="n">
        <v>156540.54</v>
      </c>
      <c r="M189" s="0" t="n">
        <v>154486.76</v>
      </c>
      <c r="N189" s="0" t="n">
        <v>2053.78</v>
      </c>
      <c r="O189" s="0" t="n">
        <v>55359.92</v>
      </c>
      <c r="P189" s="1" t="n">
        <v>7.6</v>
      </c>
      <c r="Q189" s="0" t="n">
        <v>0</v>
      </c>
      <c r="R189" s="0" t="n">
        <v>3</v>
      </c>
      <c r="S189" s="0" t="s">
        <v>32</v>
      </c>
      <c r="T189" s="0" t="str">
        <f aca="false">IF(L189="inf","False","True")</f>
        <v>True</v>
      </c>
      <c r="U189" s="0" t="str">
        <f aca="false">IF(V189="inf","False","True")</f>
        <v>False</v>
      </c>
      <c r="V189" s="4" t="s">
        <v>37</v>
      </c>
      <c r="W189" s="4" t="s">
        <v>37</v>
      </c>
      <c r="X189" s="0" t="n">
        <v>6.1</v>
      </c>
      <c r="Y189" s="5" t="e">
        <f aca="false">V189-L189</f>
        <v>#VALUE!</v>
      </c>
      <c r="Z189" s="6" t="e">
        <f aca="false">Y189/L189</f>
        <v>#VALUE!</v>
      </c>
      <c r="AA189" s="3" t="n">
        <f aca="false">X189-P189</f>
        <v>-1.5</v>
      </c>
      <c r="AB189" s="6" t="n">
        <f aca="false">AA189/P189</f>
        <v>-0.197368421052632</v>
      </c>
    </row>
    <row r="190" customFormat="false" ht="12.75" hidden="false" customHeight="false" outlineLevel="0" collapsed="false">
      <c r="A190" s="0" t="s">
        <v>235</v>
      </c>
      <c r="B190" s="0" t="n">
        <v>3</v>
      </c>
      <c r="C190" s="0" t="s">
        <v>31</v>
      </c>
      <c r="D190" s="0" t="s">
        <v>31</v>
      </c>
      <c r="E190" s="0" t="n">
        <v>833</v>
      </c>
      <c r="F190" s="0" t="n">
        <v>2171</v>
      </c>
      <c r="G190" s="0" t="n">
        <v>5</v>
      </c>
      <c r="H190" s="0" t="n">
        <v>6</v>
      </c>
      <c r="I190" s="0" t="n">
        <v>6</v>
      </c>
      <c r="J190" s="0" t="n">
        <v>4</v>
      </c>
      <c r="K190" s="0" t="n">
        <v>0.7</v>
      </c>
      <c r="L190" s="1" t="n">
        <v>2171</v>
      </c>
      <c r="M190" s="0" t="n">
        <v>0</v>
      </c>
      <c r="N190" s="0" t="n">
        <v>2171</v>
      </c>
      <c r="O190" s="0" t="n">
        <v>46392</v>
      </c>
      <c r="P190" s="1" t="n">
        <v>2.12</v>
      </c>
      <c r="Q190" s="0" t="n">
        <v>0</v>
      </c>
      <c r="R190" s="0" t="n">
        <v>1</v>
      </c>
      <c r="S190" s="0" t="s">
        <v>42</v>
      </c>
      <c r="T190" s="0" t="str">
        <f aca="false">IF(L190="inf","False","True")</f>
        <v>True</v>
      </c>
      <c r="U190" s="0" t="str">
        <f aca="false">IF(V190="inf","False","True")</f>
        <v>False</v>
      </c>
      <c r="V190" s="4" t="s">
        <v>37</v>
      </c>
      <c r="W190" s="4" t="s">
        <v>37</v>
      </c>
      <c r="X190" s="0" t="n">
        <v>5.56</v>
      </c>
      <c r="Y190" s="5" t="e">
        <f aca="false">V190-L190</f>
        <v>#VALUE!</v>
      </c>
      <c r="Z190" s="6" t="e">
        <f aca="false">Y190/L190</f>
        <v>#VALUE!</v>
      </c>
      <c r="AA190" s="3" t="n">
        <f aca="false">X190-P190</f>
        <v>3.44</v>
      </c>
      <c r="AB190" s="6" t="n">
        <f aca="false">AA190/P190</f>
        <v>1.62264150943396</v>
      </c>
    </row>
    <row r="191" customFormat="false" ht="12.75" hidden="false" customHeight="false" outlineLevel="0" collapsed="false">
      <c r="A191" s="0" t="s">
        <v>236</v>
      </c>
      <c r="B191" s="0" t="n">
        <v>4</v>
      </c>
      <c r="C191" s="0" t="s">
        <v>31</v>
      </c>
      <c r="D191" s="0" t="s">
        <v>31</v>
      </c>
      <c r="E191" s="0" t="n">
        <v>833</v>
      </c>
      <c r="F191" s="0" t="n">
        <v>2330</v>
      </c>
      <c r="G191" s="0" t="n">
        <v>5</v>
      </c>
      <c r="H191" s="0" t="n">
        <v>6</v>
      </c>
      <c r="I191" s="0" t="n">
        <v>6</v>
      </c>
      <c r="J191" s="0" t="n">
        <v>4</v>
      </c>
      <c r="K191" s="0" t="n">
        <v>0.7</v>
      </c>
      <c r="L191" s="1" t="n">
        <v>2330</v>
      </c>
      <c r="M191" s="0" t="n">
        <v>0</v>
      </c>
      <c r="N191" s="0" t="n">
        <v>2330</v>
      </c>
      <c r="O191" s="0" t="n">
        <v>47555</v>
      </c>
      <c r="P191" s="1" t="n">
        <v>2.95</v>
      </c>
      <c r="Q191" s="0" t="n">
        <v>0</v>
      </c>
      <c r="R191" s="0" t="n">
        <v>5</v>
      </c>
      <c r="S191" s="0" t="s">
        <v>42</v>
      </c>
      <c r="T191" s="0" t="str">
        <f aca="false">IF(L191="inf","False","True")</f>
        <v>True</v>
      </c>
      <c r="U191" s="0" t="str">
        <f aca="false">IF(V191="inf","False","True")</f>
        <v>True</v>
      </c>
      <c r="V191" s="4" t="n">
        <v>80618.29</v>
      </c>
      <c r="W191" s="4" t="n">
        <v>45116.95</v>
      </c>
      <c r="X191" s="0" t="n">
        <v>1.14</v>
      </c>
      <c r="Y191" s="5" t="n">
        <f aca="false">V191-L191</f>
        <v>78288.29</v>
      </c>
      <c r="Z191" s="6" t="n">
        <f aca="false">Y191/L191</f>
        <v>33.6001244635193</v>
      </c>
      <c r="AA191" s="3" t="n">
        <f aca="false">X191-P191</f>
        <v>-1.81</v>
      </c>
      <c r="AB191" s="6" t="n">
        <f aca="false">AA191/P191</f>
        <v>-0.613559322033898</v>
      </c>
    </row>
    <row r="192" customFormat="false" ht="12.75" hidden="false" customHeight="false" outlineLevel="0" collapsed="false">
      <c r="A192" s="0" t="s">
        <v>237</v>
      </c>
      <c r="B192" s="0" t="n">
        <v>0</v>
      </c>
      <c r="C192" s="0" t="s">
        <v>31</v>
      </c>
      <c r="D192" s="0" t="s">
        <v>31</v>
      </c>
      <c r="E192" s="0" t="n">
        <v>1166</v>
      </c>
      <c r="F192" s="0" t="n">
        <v>2861</v>
      </c>
      <c r="G192" s="0" t="n">
        <v>5</v>
      </c>
      <c r="H192" s="0" t="n">
        <v>6</v>
      </c>
      <c r="I192" s="0" t="n">
        <v>6</v>
      </c>
      <c r="J192" s="0" t="n">
        <v>4</v>
      </c>
      <c r="K192" s="0" t="n">
        <v>0.7</v>
      </c>
      <c r="L192" s="1" t="n">
        <v>201037.6</v>
      </c>
      <c r="M192" s="0" t="n">
        <v>198287.46</v>
      </c>
      <c r="N192" s="0" t="n">
        <v>2750.14</v>
      </c>
      <c r="O192" s="0" t="n">
        <v>70654.14</v>
      </c>
      <c r="P192" s="1" t="n">
        <v>7.81</v>
      </c>
      <c r="Q192" s="0" t="n">
        <v>0</v>
      </c>
      <c r="R192" s="0" t="n">
        <v>5</v>
      </c>
      <c r="S192" s="0" t="s">
        <v>32</v>
      </c>
      <c r="T192" s="0" t="str">
        <f aca="false">IF(L192="inf","False","True")</f>
        <v>True</v>
      </c>
      <c r="U192" s="0" t="str">
        <f aca="false">IF(V192="inf","False","True")</f>
        <v>False</v>
      </c>
      <c r="V192" s="4" t="s">
        <v>37</v>
      </c>
      <c r="W192" s="4" t="s">
        <v>37</v>
      </c>
      <c r="X192" s="0" t="n">
        <v>6.38</v>
      </c>
      <c r="Y192" s="5" t="e">
        <f aca="false">V192-L192</f>
        <v>#VALUE!</v>
      </c>
      <c r="Z192" s="6" t="e">
        <f aca="false">Y192/L192</f>
        <v>#VALUE!</v>
      </c>
      <c r="AA192" s="3" t="n">
        <f aca="false">X192-P192</f>
        <v>-1.43</v>
      </c>
      <c r="AB192" s="6" t="n">
        <f aca="false">AA192/P192</f>
        <v>-0.183098591549296</v>
      </c>
    </row>
    <row r="193" customFormat="false" ht="12.75" hidden="false" customHeight="false" outlineLevel="0" collapsed="false">
      <c r="A193" s="0" t="s">
        <v>238</v>
      </c>
      <c r="B193" s="0" t="n">
        <v>1</v>
      </c>
      <c r="C193" s="0" t="s">
        <v>31</v>
      </c>
      <c r="D193" s="0" t="s">
        <v>31</v>
      </c>
      <c r="E193" s="0" t="n">
        <v>1166</v>
      </c>
      <c r="F193" s="0" t="n">
        <v>3082</v>
      </c>
      <c r="G193" s="0" t="n">
        <v>5</v>
      </c>
      <c r="H193" s="0" t="n">
        <v>6</v>
      </c>
      <c r="I193" s="0" t="n">
        <v>6</v>
      </c>
      <c r="J193" s="0" t="n">
        <v>4</v>
      </c>
      <c r="K193" s="0" t="n">
        <v>0.7</v>
      </c>
      <c r="L193" s="1" t="n">
        <v>256480.3</v>
      </c>
      <c r="M193" s="0" t="n">
        <v>253488.22</v>
      </c>
      <c r="N193" s="0" t="n">
        <v>2992.08</v>
      </c>
      <c r="O193" s="0" t="n">
        <v>68247.82</v>
      </c>
      <c r="P193" s="1" t="n">
        <v>7.56</v>
      </c>
      <c r="Q193" s="0" t="n">
        <v>0</v>
      </c>
      <c r="R193" s="0" t="n">
        <v>2</v>
      </c>
      <c r="S193" s="0" t="s">
        <v>32</v>
      </c>
      <c r="T193" s="0" t="str">
        <f aca="false">IF(L193="inf","False","True")</f>
        <v>True</v>
      </c>
      <c r="U193" s="0" t="str">
        <f aca="false">IF(V193="inf","False","True")</f>
        <v>False</v>
      </c>
      <c r="V193" s="4" t="s">
        <v>37</v>
      </c>
      <c r="W193" s="4" t="s">
        <v>37</v>
      </c>
      <c r="X193" s="0" t="n">
        <v>5.76</v>
      </c>
      <c r="Y193" s="5" t="e">
        <f aca="false">V193-L193</f>
        <v>#VALUE!</v>
      </c>
      <c r="Z193" s="6" t="e">
        <f aca="false">Y193/L193</f>
        <v>#VALUE!</v>
      </c>
      <c r="AA193" s="3" t="n">
        <f aca="false">X193-P193</f>
        <v>-1.8</v>
      </c>
      <c r="AB193" s="6" t="n">
        <f aca="false">AA193/P193</f>
        <v>-0.238095238095238</v>
      </c>
    </row>
    <row r="194" customFormat="false" ht="12.75" hidden="false" customHeight="false" outlineLevel="0" collapsed="false">
      <c r="A194" s="0" t="s">
        <v>239</v>
      </c>
      <c r="B194" s="0" t="n">
        <v>2</v>
      </c>
      <c r="C194" s="0" t="s">
        <v>31</v>
      </c>
      <c r="D194" s="0" t="s">
        <v>31</v>
      </c>
      <c r="E194" s="0" t="n">
        <v>1166</v>
      </c>
      <c r="F194" s="0" t="n">
        <v>3068</v>
      </c>
      <c r="G194" s="0" t="n">
        <v>5</v>
      </c>
      <c r="H194" s="0" t="n">
        <v>6</v>
      </c>
      <c r="I194" s="0" t="n">
        <v>6</v>
      </c>
      <c r="J194" s="0" t="n">
        <v>4</v>
      </c>
      <c r="K194" s="0" t="n">
        <v>0.7</v>
      </c>
      <c r="L194" s="1" t="n">
        <v>230957.47</v>
      </c>
      <c r="M194" s="0" t="n">
        <v>228037.95</v>
      </c>
      <c r="N194" s="0" t="n">
        <v>2919.52</v>
      </c>
      <c r="O194" s="0" t="n">
        <v>74358.07</v>
      </c>
      <c r="P194" s="1" t="n">
        <v>14.67</v>
      </c>
      <c r="Q194" s="0" t="n">
        <v>0</v>
      </c>
      <c r="R194" s="0" t="n">
        <v>19</v>
      </c>
      <c r="S194" s="0" t="s">
        <v>32</v>
      </c>
      <c r="T194" s="0" t="str">
        <f aca="false">IF(L194="inf","False","True")</f>
        <v>True</v>
      </c>
      <c r="U194" s="0" t="str">
        <f aca="false">IF(V194="inf","False","True")</f>
        <v>False</v>
      </c>
      <c r="V194" s="4" t="s">
        <v>37</v>
      </c>
      <c r="W194" s="4" t="s">
        <v>37</v>
      </c>
      <c r="X194" s="0" t="n">
        <v>6.44</v>
      </c>
      <c r="Y194" s="5" t="e">
        <f aca="false">V194-L194</f>
        <v>#VALUE!</v>
      </c>
      <c r="Z194" s="6" t="e">
        <f aca="false">Y194/L194</f>
        <v>#VALUE!</v>
      </c>
      <c r="AA194" s="3" t="n">
        <f aca="false">X194-P194</f>
        <v>-8.23</v>
      </c>
      <c r="AB194" s="6" t="n">
        <f aca="false">AA194/P194</f>
        <v>-0.561008861622359</v>
      </c>
    </row>
    <row r="195" customFormat="false" ht="12.75" hidden="false" customHeight="false" outlineLevel="0" collapsed="false">
      <c r="A195" s="0" t="s">
        <v>240</v>
      </c>
      <c r="B195" s="0" t="n">
        <v>3</v>
      </c>
      <c r="C195" s="0" t="s">
        <v>31</v>
      </c>
      <c r="D195" s="0" t="s">
        <v>31</v>
      </c>
      <c r="E195" s="0" t="n">
        <v>1166</v>
      </c>
      <c r="F195" s="0" t="n">
        <v>3040</v>
      </c>
      <c r="G195" s="0" t="n">
        <v>5</v>
      </c>
      <c r="H195" s="0" t="n">
        <v>6</v>
      </c>
      <c r="I195" s="0" t="n">
        <v>6</v>
      </c>
      <c r="J195" s="0" t="n">
        <v>4</v>
      </c>
      <c r="K195" s="0" t="n">
        <v>0.7</v>
      </c>
      <c r="L195" s="1" t="n">
        <v>3040</v>
      </c>
      <c r="M195" s="0" t="n">
        <v>0</v>
      </c>
      <c r="N195" s="0" t="n">
        <v>3040</v>
      </c>
      <c r="O195" s="0" t="n">
        <v>64952</v>
      </c>
      <c r="P195" s="1" t="n">
        <v>2.14</v>
      </c>
      <c r="Q195" s="0" t="n">
        <v>0</v>
      </c>
      <c r="R195" s="0" t="n">
        <v>1</v>
      </c>
      <c r="S195" s="0" t="s">
        <v>42</v>
      </c>
      <c r="T195" s="0" t="str">
        <f aca="false">IF(L195="inf","False","True")</f>
        <v>True</v>
      </c>
      <c r="U195" s="0" t="str">
        <f aca="false">IF(V195="inf","False","True")</f>
        <v>True</v>
      </c>
      <c r="V195" s="4" t="n">
        <v>208010</v>
      </c>
      <c r="W195" s="4" t="n">
        <v>71049.98</v>
      </c>
      <c r="X195" s="0" t="n">
        <v>0.39</v>
      </c>
      <c r="Y195" s="5" t="n">
        <f aca="false">V195-L195</f>
        <v>204970</v>
      </c>
      <c r="Z195" s="6" t="n">
        <f aca="false">Y195/L195</f>
        <v>67.4243421052632</v>
      </c>
      <c r="AA195" s="3" t="n">
        <f aca="false">X195-P195</f>
        <v>-1.75</v>
      </c>
      <c r="AB195" s="6" t="n">
        <f aca="false">AA195/P195</f>
        <v>-0.817757009345794</v>
      </c>
    </row>
    <row r="196" customFormat="false" ht="12.75" hidden="false" customHeight="false" outlineLevel="0" collapsed="false">
      <c r="A196" s="0" t="s">
        <v>241</v>
      </c>
      <c r="B196" s="0" t="n">
        <v>4</v>
      </c>
      <c r="C196" s="0" t="s">
        <v>31</v>
      </c>
      <c r="D196" s="0" t="s">
        <v>31</v>
      </c>
      <c r="E196" s="0" t="n">
        <v>1166</v>
      </c>
      <c r="F196" s="0" t="n">
        <v>3262</v>
      </c>
      <c r="G196" s="0" t="n">
        <v>5</v>
      </c>
      <c r="H196" s="0" t="n">
        <v>6</v>
      </c>
      <c r="I196" s="0" t="n">
        <v>6</v>
      </c>
      <c r="J196" s="0" t="n">
        <v>4</v>
      </c>
      <c r="K196" s="0" t="n">
        <v>0.7</v>
      </c>
      <c r="L196" s="1" t="n">
        <v>3262</v>
      </c>
      <c r="M196" s="0" t="n">
        <v>0</v>
      </c>
      <c r="N196" s="0" t="n">
        <v>3262</v>
      </c>
      <c r="O196" s="0" t="n">
        <v>66570</v>
      </c>
      <c r="P196" s="1" t="n">
        <v>2.57</v>
      </c>
      <c r="Q196" s="0" t="n">
        <v>0</v>
      </c>
      <c r="R196" s="0" t="n">
        <v>1</v>
      </c>
      <c r="S196" s="0" t="s">
        <v>42</v>
      </c>
      <c r="T196" s="0" t="str">
        <f aca="false">IF(L196="inf","False","True")</f>
        <v>True</v>
      </c>
      <c r="U196" s="0" t="str">
        <f aca="false">IF(V196="inf","False","True")</f>
        <v>False</v>
      </c>
      <c r="V196" s="4" t="s">
        <v>37</v>
      </c>
      <c r="W196" s="4" t="s">
        <v>37</v>
      </c>
      <c r="X196" s="0" t="n">
        <v>6.72</v>
      </c>
      <c r="Y196" s="5" t="e">
        <f aca="false">V196-L196</f>
        <v>#VALUE!</v>
      </c>
      <c r="Z196" s="6" t="e">
        <f aca="false">Y196/L196</f>
        <v>#VALUE!</v>
      </c>
      <c r="AA196" s="3" t="n">
        <f aca="false">X196-P196</f>
        <v>4.15</v>
      </c>
      <c r="AB196" s="6" t="n">
        <f aca="false">AA196/P196</f>
        <v>1.6147859922179</v>
      </c>
    </row>
    <row r="197" customFormat="false" ht="12.75" hidden="false" customHeight="false" outlineLevel="0" collapsed="false">
      <c r="A197" s="0" t="s">
        <v>242</v>
      </c>
      <c r="B197" s="0" t="n">
        <v>0</v>
      </c>
      <c r="C197" s="0" t="s">
        <v>31</v>
      </c>
      <c r="D197" s="0" t="s">
        <v>31</v>
      </c>
      <c r="E197" s="0" t="n">
        <v>1666</v>
      </c>
      <c r="F197" s="0" t="n">
        <v>4090</v>
      </c>
      <c r="G197" s="0" t="n">
        <v>5</v>
      </c>
      <c r="H197" s="0" t="n">
        <v>6</v>
      </c>
      <c r="I197" s="0" t="n">
        <v>6</v>
      </c>
      <c r="J197" s="0" t="n">
        <v>4</v>
      </c>
      <c r="K197" s="0" t="n">
        <v>0.7</v>
      </c>
      <c r="L197" s="1" t="n">
        <v>317004.26</v>
      </c>
      <c r="M197" s="0" t="n">
        <v>313110.89</v>
      </c>
      <c r="N197" s="0" t="n">
        <v>3893.37</v>
      </c>
      <c r="O197" s="0" t="n">
        <v>102009.31</v>
      </c>
      <c r="P197" s="1" t="n">
        <v>5.55</v>
      </c>
      <c r="Q197" s="0" t="n">
        <v>0</v>
      </c>
      <c r="R197" s="0" t="n">
        <v>3</v>
      </c>
      <c r="S197" s="0" t="s">
        <v>32</v>
      </c>
      <c r="T197" s="0" t="str">
        <f aca="false">IF(L197="inf","False","True")</f>
        <v>True</v>
      </c>
      <c r="U197" s="0" t="str">
        <f aca="false">IF(V197="inf","False","True")</f>
        <v>False</v>
      </c>
      <c r="V197" s="4" t="s">
        <v>37</v>
      </c>
      <c r="W197" s="4" t="s">
        <v>37</v>
      </c>
      <c r="X197" s="0" t="n">
        <v>7.45</v>
      </c>
      <c r="Y197" s="5" t="e">
        <f aca="false">V197-L197</f>
        <v>#VALUE!</v>
      </c>
      <c r="Z197" s="6" t="e">
        <f aca="false">Y197/L197</f>
        <v>#VALUE!</v>
      </c>
      <c r="AA197" s="3" t="n">
        <f aca="false">X197-P197</f>
        <v>1.9</v>
      </c>
      <c r="AB197" s="6" t="n">
        <f aca="false">AA197/P197</f>
        <v>0.342342342342342</v>
      </c>
    </row>
    <row r="198" customFormat="false" ht="12.75" hidden="false" customHeight="false" outlineLevel="0" collapsed="false">
      <c r="A198" s="0" t="s">
        <v>243</v>
      </c>
      <c r="B198" s="0" t="n">
        <v>1</v>
      </c>
      <c r="C198" s="0" t="s">
        <v>31</v>
      </c>
      <c r="D198" s="0" t="s">
        <v>31</v>
      </c>
      <c r="E198" s="0" t="n">
        <v>1666</v>
      </c>
      <c r="F198" s="0" t="n">
        <v>4407</v>
      </c>
      <c r="G198" s="0" t="n">
        <v>5</v>
      </c>
      <c r="H198" s="0" t="n">
        <v>6</v>
      </c>
      <c r="I198" s="0" t="n">
        <v>6</v>
      </c>
      <c r="J198" s="0" t="n">
        <v>4</v>
      </c>
      <c r="K198" s="0" t="n">
        <v>0.7</v>
      </c>
      <c r="L198" s="1" t="n">
        <v>364102.57</v>
      </c>
      <c r="M198" s="0" t="n">
        <v>359869.2</v>
      </c>
      <c r="N198" s="0" t="n">
        <v>4233.37</v>
      </c>
      <c r="O198" s="0" t="n">
        <v>98047.7</v>
      </c>
      <c r="P198" s="1" t="n">
        <v>6.06</v>
      </c>
      <c r="Q198" s="0" t="n">
        <v>0</v>
      </c>
      <c r="R198" s="0" t="n">
        <v>2</v>
      </c>
      <c r="S198" s="0" t="s">
        <v>32</v>
      </c>
      <c r="T198" s="0" t="str">
        <f aca="false">IF(L198="inf","False","True")</f>
        <v>True</v>
      </c>
      <c r="U198" s="0" t="str">
        <f aca="false">IF(V198="inf","False","True")</f>
        <v>False</v>
      </c>
      <c r="V198" s="4" t="s">
        <v>37</v>
      </c>
      <c r="W198" s="4" t="s">
        <v>37</v>
      </c>
      <c r="X198" s="0" t="n">
        <v>6.7</v>
      </c>
      <c r="Y198" s="5" t="e">
        <f aca="false">V198-L198</f>
        <v>#VALUE!</v>
      </c>
      <c r="Z198" s="6" t="e">
        <f aca="false">Y198/L198</f>
        <v>#VALUE!</v>
      </c>
      <c r="AA198" s="3" t="n">
        <f aca="false">X198-P198</f>
        <v>0.640000000000001</v>
      </c>
      <c r="AB198" s="6" t="n">
        <f aca="false">AA198/P198</f>
        <v>0.105610561056106</v>
      </c>
    </row>
    <row r="199" customFormat="false" ht="12.75" hidden="false" customHeight="false" outlineLevel="0" collapsed="false">
      <c r="A199" s="0" t="s">
        <v>244</v>
      </c>
      <c r="B199" s="0" t="n">
        <v>2</v>
      </c>
      <c r="C199" s="0" t="s">
        <v>31</v>
      </c>
      <c r="D199" s="0" t="s">
        <v>31</v>
      </c>
      <c r="E199" s="0" t="n">
        <v>1666</v>
      </c>
      <c r="F199" s="0" t="n">
        <v>4386</v>
      </c>
      <c r="G199" s="0" t="n">
        <v>5</v>
      </c>
      <c r="H199" s="0" t="n">
        <v>6</v>
      </c>
      <c r="I199" s="0" t="n">
        <v>6</v>
      </c>
      <c r="J199" s="0" t="n">
        <v>4</v>
      </c>
      <c r="K199" s="0" t="n">
        <v>0.7</v>
      </c>
      <c r="L199" s="1" t="n">
        <v>370323.88</v>
      </c>
      <c r="M199" s="0" t="n">
        <v>366246.14</v>
      </c>
      <c r="N199" s="0" t="n">
        <v>4077.74</v>
      </c>
      <c r="O199" s="0" t="n">
        <v>105375.03</v>
      </c>
      <c r="P199" s="1" t="n">
        <v>5.92</v>
      </c>
      <c r="Q199" s="0" t="n">
        <v>0</v>
      </c>
      <c r="R199" s="0" t="n">
        <v>5</v>
      </c>
      <c r="S199" s="0" t="s">
        <v>32</v>
      </c>
      <c r="T199" s="0" t="str">
        <f aca="false">IF(L199="inf","False","True")</f>
        <v>True</v>
      </c>
      <c r="U199" s="0" t="str">
        <f aca="false">IF(V199="inf","False","True")</f>
        <v>False</v>
      </c>
      <c r="V199" s="4" t="s">
        <v>37</v>
      </c>
      <c r="W199" s="4" t="s">
        <v>37</v>
      </c>
      <c r="X199" s="0" t="n">
        <v>7.43</v>
      </c>
      <c r="Y199" s="5" t="e">
        <f aca="false">V199-L199</f>
        <v>#VALUE!</v>
      </c>
      <c r="Z199" s="6" t="e">
        <f aca="false">Y199/L199</f>
        <v>#VALUE!</v>
      </c>
      <c r="AA199" s="3" t="n">
        <f aca="false">X199-P199</f>
        <v>1.51</v>
      </c>
      <c r="AB199" s="6" t="n">
        <f aca="false">AA199/P199</f>
        <v>0.255067567567568</v>
      </c>
    </row>
    <row r="200" customFormat="false" ht="12.75" hidden="false" customHeight="false" outlineLevel="0" collapsed="false">
      <c r="A200" s="0" t="s">
        <v>245</v>
      </c>
      <c r="B200" s="0" t="n">
        <v>3</v>
      </c>
      <c r="C200" s="0" t="s">
        <v>31</v>
      </c>
      <c r="D200" s="0" t="s">
        <v>31</v>
      </c>
      <c r="E200" s="0" t="n">
        <v>1666</v>
      </c>
      <c r="F200" s="0" t="n">
        <v>4346</v>
      </c>
      <c r="G200" s="0" t="n">
        <v>5</v>
      </c>
      <c r="H200" s="0" t="n">
        <v>6</v>
      </c>
      <c r="I200" s="0" t="n">
        <v>6</v>
      </c>
      <c r="J200" s="0" t="n">
        <v>4</v>
      </c>
      <c r="K200" s="0" t="n">
        <v>0.7</v>
      </c>
      <c r="L200" s="1" t="n">
        <v>4346</v>
      </c>
      <c r="M200" s="0" t="n">
        <v>0</v>
      </c>
      <c r="N200" s="0" t="n">
        <v>4346</v>
      </c>
      <c r="O200" s="0" t="n">
        <v>92736</v>
      </c>
      <c r="P200" s="1" t="n">
        <v>2.15</v>
      </c>
      <c r="Q200" s="0" t="n">
        <v>0</v>
      </c>
      <c r="R200" s="0" t="n">
        <v>1</v>
      </c>
      <c r="S200" s="0" t="s">
        <v>42</v>
      </c>
      <c r="T200" s="0" t="str">
        <f aca="false">IF(L200="inf","False","True")</f>
        <v>True</v>
      </c>
      <c r="U200" s="0" t="str">
        <f aca="false">IF(V200="inf","False","True")</f>
        <v>True</v>
      </c>
      <c r="V200" s="4" t="n">
        <v>88521.82</v>
      </c>
      <c r="W200" s="4" t="n">
        <v>92153.2</v>
      </c>
      <c r="X200" s="0" t="n">
        <v>3.86</v>
      </c>
      <c r="Y200" s="5" t="n">
        <f aca="false">V200-L200</f>
        <v>84175.82</v>
      </c>
      <c r="Z200" s="6" t="n">
        <f aca="false">Y200/L200</f>
        <v>19.3685734008284</v>
      </c>
      <c r="AA200" s="3" t="n">
        <f aca="false">X200-P200</f>
        <v>1.71</v>
      </c>
      <c r="AB200" s="6" t="n">
        <f aca="false">AA200/P200</f>
        <v>0.795348837209302</v>
      </c>
    </row>
    <row r="201" customFormat="false" ht="12.75" hidden="false" customHeight="false" outlineLevel="0" collapsed="false">
      <c r="A201" s="0" t="s">
        <v>246</v>
      </c>
      <c r="B201" s="0" t="n">
        <v>4</v>
      </c>
      <c r="C201" s="0" t="s">
        <v>31</v>
      </c>
      <c r="D201" s="0" t="s">
        <v>31</v>
      </c>
      <c r="E201" s="0" t="n">
        <v>1666</v>
      </c>
      <c r="F201" s="0" t="n">
        <v>4664</v>
      </c>
      <c r="G201" s="0" t="n">
        <v>5</v>
      </c>
      <c r="H201" s="0" t="n">
        <v>6</v>
      </c>
      <c r="I201" s="0" t="n">
        <v>6</v>
      </c>
      <c r="J201" s="0" t="n">
        <v>4</v>
      </c>
      <c r="K201" s="0" t="n">
        <v>0.7</v>
      </c>
      <c r="L201" s="1" t="n">
        <v>4664</v>
      </c>
      <c r="M201" s="0" t="n">
        <v>0</v>
      </c>
      <c r="N201" s="0" t="n">
        <v>4664</v>
      </c>
      <c r="O201" s="0" t="n">
        <v>95019</v>
      </c>
      <c r="P201" s="1" t="n">
        <v>2.27</v>
      </c>
      <c r="Q201" s="0" t="n">
        <v>0</v>
      </c>
      <c r="R201" s="0" t="n">
        <v>1</v>
      </c>
      <c r="S201" s="0" t="s">
        <v>42</v>
      </c>
      <c r="T201" s="0" t="str">
        <f aca="false">IF(L201="inf","False","True")</f>
        <v>True</v>
      </c>
      <c r="U201" s="0" t="str">
        <f aca="false">IF(V201="inf","False","True")</f>
        <v>False</v>
      </c>
      <c r="V201" s="4" t="s">
        <v>37</v>
      </c>
      <c r="W201" s="4" t="s">
        <v>37</v>
      </c>
      <c r="X201" s="0" t="n">
        <v>5.87</v>
      </c>
      <c r="Y201" s="5" t="e">
        <f aca="false">V201-L201</f>
        <v>#VALUE!</v>
      </c>
      <c r="Z201" s="6" t="e">
        <f aca="false">Y201/L201</f>
        <v>#VALUE!</v>
      </c>
      <c r="AA201" s="3" t="n">
        <f aca="false">X201-P201</f>
        <v>3.6</v>
      </c>
      <c r="AB201" s="6" t="n">
        <f aca="false">AA201/P201</f>
        <v>1.58590308370044</v>
      </c>
    </row>
    <row r="202" customFormat="false" ht="12.75" hidden="false" customHeight="false" outlineLevel="0" collapsed="false">
      <c r="A202" s="0" t="s">
        <v>247</v>
      </c>
      <c r="B202" s="0" t="n">
        <v>0</v>
      </c>
      <c r="C202" s="0" t="s">
        <v>31</v>
      </c>
      <c r="D202" s="0" t="s">
        <v>31</v>
      </c>
      <c r="E202" s="0" t="n">
        <v>500</v>
      </c>
      <c r="F202" s="0" t="n">
        <v>1413</v>
      </c>
      <c r="G202" s="0" t="n">
        <v>5</v>
      </c>
      <c r="H202" s="0" t="n">
        <v>6</v>
      </c>
      <c r="I202" s="0" t="n">
        <v>6</v>
      </c>
      <c r="J202" s="0" t="n">
        <v>8</v>
      </c>
      <c r="K202" s="0" t="n">
        <v>0.7</v>
      </c>
      <c r="L202" s="1" t="n">
        <v>1413</v>
      </c>
      <c r="M202" s="0" t="n">
        <v>0</v>
      </c>
      <c r="N202" s="0" t="n">
        <v>1413</v>
      </c>
      <c r="O202" s="0" t="n">
        <v>33537</v>
      </c>
      <c r="P202" s="1" t="n">
        <v>3.45</v>
      </c>
      <c r="Q202" s="0" t="n">
        <v>0</v>
      </c>
      <c r="R202" s="0" t="n">
        <v>1</v>
      </c>
      <c r="S202" s="0" t="s">
        <v>42</v>
      </c>
      <c r="T202" s="0" t="str">
        <f aca="false">IF(L202="inf","False","True")</f>
        <v>True</v>
      </c>
      <c r="U202" s="0" t="str">
        <f aca="false">IF(V202="inf","False","True")</f>
        <v>True</v>
      </c>
      <c r="V202" s="4" t="n">
        <v>105021.65</v>
      </c>
      <c r="W202" s="4" t="n">
        <v>33733.99</v>
      </c>
      <c r="X202" s="0" t="n">
        <v>6.53</v>
      </c>
      <c r="Y202" s="5" t="n">
        <f aca="false">V202-L202</f>
        <v>103608.65</v>
      </c>
      <c r="Z202" s="6" t="n">
        <f aca="false">Y202/L202</f>
        <v>73.3253007784855</v>
      </c>
      <c r="AA202" s="3" t="n">
        <f aca="false">X202-P202</f>
        <v>3.08</v>
      </c>
      <c r="AB202" s="6" t="n">
        <f aca="false">AA202/P202</f>
        <v>0.892753623188406</v>
      </c>
    </row>
    <row r="203" customFormat="false" ht="12.75" hidden="false" customHeight="false" outlineLevel="0" collapsed="false">
      <c r="A203" s="0" t="s">
        <v>248</v>
      </c>
      <c r="B203" s="0" t="n">
        <v>1</v>
      </c>
      <c r="C203" s="0" t="s">
        <v>31</v>
      </c>
      <c r="D203" s="0" t="s">
        <v>31</v>
      </c>
      <c r="E203" s="0" t="n">
        <v>500</v>
      </c>
      <c r="F203" s="0" t="n">
        <v>1559</v>
      </c>
      <c r="G203" s="0" t="n">
        <v>5</v>
      </c>
      <c r="H203" s="0" t="n">
        <v>6</v>
      </c>
      <c r="I203" s="0" t="n">
        <v>6</v>
      </c>
      <c r="J203" s="0" t="n">
        <v>8</v>
      </c>
      <c r="K203" s="0" t="n">
        <v>0.7</v>
      </c>
      <c r="L203" s="1" t="n">
        <v>1559</v>
      </c>
      <c r="M203" s="0" t="n">
        <v>0</v>
      </c>
      <c r="N203" s="0" t="n">
        <v>1559</v>
      </c>
      <c r="O203" s="0" t="n">
        <v>31235</v>
      </c>
      <c r="P203" s="1" t="n">
        <v>3.44</v>
      </c>
      <c r="Q203" s="0" t="n">
        <v>0</v>
      </c>
      <c r="R203" s="0" t="n">
        <v>1</v>
      </c>
      <c r="S203" s="0" t="s">
        <v>42</v>
      </c>
      <c r="T203" s="0" t="str">
        <f aca="false">IF(L203="inf","False","True")</f>
        <v>True</v>
      </c>
      <c r="U203" s="0" t="str">
        <f aca="false">IF(V203="inf","False","True")</f>
        <v>True</v>
      </c>
      <c r="V203" s="4" t="n">
        <v>56966.67</v>
      </c>
      <c r="W203" s="4" t="n">
        <v>27697.49</v>
      </c>
      <c r="X203" s="0" t="n">
        <v>14.72</v>
      </c>
      <c r="Y203" s="5" t="n">
        <f aca="false">V203-L203</f>
        <v>55407.67</v>
      </c>
      <c r="Z203" s="6" t="n">
        <f aca="false">Y203/L203</f>
        <v>35.540519563823</v>
      </c>
      <c r="AA203" s="3" t="n">
        <f aca="false">X203-P203</f>
        <v>11.28</v>
      </c>
      <c r="AB203" s="6" t="n">
        <f aca="false">AA203/P203</f>
        <v>3.27906976744186</v>
      </c>
    </row>
    <row r="204" customFormat="false" ht="12.75" hidden="false" customHeight="false" outlineLevel="0" collapsed="false">
      <c r="A204" s="0" t="s">
        <v>249</v>
      </c>
      <c r="B204" s="0" t="n">
        <v>2</v>
      </c>
      <c r="C204" s="0" t="s">
        <v>31</v>
      </c>
      <c r="D204" s="0" t="s">
        <v>31</v>
      </c>
      <c r="E204" s="0" t="n">
        <v>500</v>
      </c>
      <c r="F204" s="0" t="n">
        <v>1456</v>
      </c>
      <c r="G204" s="0" t="n">
        <v>5</v>
      </c>
      <c r="H204" s="0" t="n">
        <v>6</v>
      </c>
      <c r="I204" s="0" t="n">
        <v>6</v>
      </c>
      <c r="J204" s="0" t="n">
        <v>8</v>
      </c>
      <c r="K204" s="0" t="n">
        <v>0.7</v>
      </c>
      <c r="L204" s="1" t="n">
        <v>1456</v>
      </c>
      <c r="M204" s="0" t="n">
        <v>0</v>
      </c>
      <c r="N204" s="0" t="n">
        <v>1456</v>
      </c>
      <c r="O204" s="0" t="n">
        <v>29013</v>
      </c>
      <c r="P204" s="1" t="n">
        <v>3.71</v>
      </c>
      <c r="Q204" s="0" t="n">
        <v>0</v>
      </c>
      <c r="R204" s="0" t="n">
        <v>1</v>
      </c>
      <c r="S204" s="0" t="s">
        <v>42</v>
      </c>
      <c r="T204" s="0" t="str">
        <f aca="false">IF(L204="inf","False","True")</f>
        <v>True</v>
      </c>
      <c r="U204" s="0" t="str">
        <f aca="false">IF(V204="inf","False","True")</f>
        <v>False</v>
      </c>
      <c r="V204" s="4" t="s">
        <v>37</v>
      </c>
      <c r="W204" s="4" t="s">
        <v>37</v>
      </c>
      <c r="X204" s="0" t="n">
        <v>13.01</v>
      </c>
      <c r="Y204" s="5" t="e">
        <f aca="false">V204-L204</f>
        <v>#VALUE!</v>
      </c>
      <c r="Z204" s="6" t="e">
        <f aca="false">Y204/L204</f>
        <v>#VALUE!</v>
      </c>
      <c r="AA204" s="3" t="n">
        <f aca="false">X204-P204</f>
        <v>9.3</v>
      </c>
      <c r="AB204" s="6" t="n">
        <f aca="false">AA204/P204</f>
        <v>2.50673854447439</v>
      </c>
    </row>
    <row r="205" customFormat="false" ht="12.75" hidden="false" customHeight="false" outlineLevel="0" collapsed="false">
      <c r="A205" s="0" t="s">
        <v>250</v>
      </c>
      <c r="B205" s="0" t="n">
        <v>3</v>
      </c>
      <c r="C205" s="0" t="s">
        <v>31</v>
      </c>
      <c r="D205" s="0" t="s">
        <v>31</v>
      </c>
      <c r="E205" s="0" t="n">
        <v>500</v>
      </c>
      <c r="F205" s="0" t="n">
        <v>1449</v>
      </c>
      <c r="G205" s="0" t="n">
        <v>5</v>
      </c>
      <c r="H205" s="0" t="n">
        <v>6</v>
      </c>
      <c r="I205" s="0" t="n">
        <v>6</v>
      </c>
      <c r="J205" s="0" t="n">
        <v>8</v>
      </c>
      <c r="K205" s="0" t="n">
        <v>0.7</v>
      </c>
      <c r="L205" s="1" t="n">
        <v>27006.35</v>
      </c>
      <c r="M205" s="0" t="n">
        <v>25604.4</v>
      </c>
      <c r="N205" s="0" t="n">
        <v>1401.96</v>
      </c>
      <c r="O205" s="0" t="n">
        <v>23493.76</v>
      </c>
      <c r="P205" s="1" t="n">
        <v>42.94</v>
      </c>
      <c r="Q205" s="0" t="n">
        <v>0</v>
      </c>
      <c r="R205" s="0" t="n">
        <v>1</v>
      </c>
      <c r="S205" s="0" t="s">
        <v>42</v>
      </c>
      <c r="T205" s="0" t="str">
        <f aca="false">IF(L205="inf","False","True")</f>
        <v>True</v>
      </c>
      <c r="U205" s="0" t="str">
        <f aca="false">IF(V205="inf","False","True")</f>
        <v>True</v>
      </c>
      <c r="V205" s="4" t="n">
        <v>16335.81</v>
      </c>
      <c r="W205" s="4" t="n">
        <v>24405.39</v>
      </c>
      <c r="X205" s="0" t="n">
        <v>32.23</v>
      </c>
      <c r="Y205" s="5" t="n">
        <f aca="false">V205-L205</f>
        <v>-10670.54</v>
      </c>
      <c r="Z205" s="6" t="n">
        <f aca="false">Y205/L205</f>
        <v>-0.395112260634999</v>
      </c>
      <c r="AA205" s="3" t="n">
        <f aca="false">X205-P205</f>
        <v>-10.71</v>
      </c>
      <c r="AB205" s="6" t="n">
        <f aca="false">AA205/P205</f>
        <v>-0.249417792268281</v>
      </c>
    </row>
    <row r="206" customFormat="false" ht="12.75" hidden="false" customHeight="false" outlineLevel="0" collapsed="false">
      <c r="A206" s="0" t="s">
        <v>251</v>
      </c>
      <c r="B206" s="0" t="n">
        <v>4</v>
      </c>
      <c r="C206" s="0" t="s">
        <v>31</v>
      </c>
      <c r="D206" s="0" t="s">
        <v>31</v>
      </c>
      <c r="E206" s="0" t="n">
        <v>500</v>
      </c>
      <c r="F206" s="0" t="n">
        <v>1552</v>
      </c>
      <c r="G206" s="0" t="n">
        <v>5</v>
      </c>
      <c r="H206" s="0" t="n">
        <v>6</v>
      </c>
      <c r="I206" s="0" t="n">
        <v>6</v>
      </c>
      <c r="J206" s="0" t="n">
        <v>8</v>
      </c>
      <c r="K206" s="0" t="n">
        <v>0.7</v>
      </c>
      <c r="L206" s="1" t="n">
        <v>1552</v>
      </c>
      <c r="M206" s="0" t="n">
        <v>0</v>
      </c>
      <c r="N206" s="0" t="n">
        <v>1552</v>
      </c>
      <c r="O206" s="0" t="n">
        <v>32519</v>
      </c>
      <c r="P206" s="1" t="n">
        <v>4</v>
      </c>
      <c r="Q206" s="0" t="n">
        <v>0</v>
      </c>
      <c r="R206" s="0" t="n">
        <v>2</v>
      </c>
      <c r="S206" s="0" t="s">
        <v>42</v>
      </c>
      <c r="T206" s="0" t="str">
        <f aca="false">IF(L206="inf","False","True")</f>
        <v>True</v>
      </c>
      <c r="U206" s="0" t="str">
        <f aca="false">IF(V206="inf","False","True")</f>
        <v>True</v>
      </c>
      <c r="V206" s="4" t="n">
        <v>57982.09</v>
      </c>
      <c r="W206" s="4" t="n">
        <v>29374.91</v>
      </c>
      <c r="X206" s="0" t="n">
        <v>5.14</v>
      </c>
      <c r="Y206" s="5" t="n">
        <f aca="false">V206-L206</f>
        <v>56430.09</v>
      </c>
      <c r="Z206" s="6" t="n">
        <f aca="false">Y206/L206</f>
        <v>36.3595940721649</v>
      </c>
      <c r="AA206" s="3" t="n">
        <f aca="false">X206-P206</f>
        <v>1.14</v>
      </c>
      <c r="AB206" s="6" t="n">
        <f aca="false">AA206/P206</f>
        <v>0.285</v>
      </c>
    </row>
    <row r="207" customFormat="false" ht="12.75" hidden="false" customHeight="false" outlineLevel="0" collapsed="false">
      <c r="A207" s="0" t="s">
        <v>252</v>
      </c>
      <c r="B207" s="0" t="n">
        <v>0</v>
      </c>
      <c r="C207" s="0" t="s">
        <v>31</v>
      </c>
      <c r="D207" s="0" t="s">
        <v>31</v>
      </c>
      <c r="E207" s="0" t="n">
        <v>833</v>
      </c>
      <c r="F207" s="0" t="n">
        <v>2357</v>
      </c>
      <c r="G207" s="0" t="n">
        <v>5</v>
      </c>
      <c r="H207" s="0" t="n">
        <v>6</v>
      </c>
      <c r="I207" s="0" t="n">
        <v>6</v>
      </c>
      <c r="J207" s="0" t="n">
        <v>8</v>
      </c>
      <c r="K207" s="0" t="n">
        <v>0.7</v>
      </c>
      <c r="L207" s="1" t="n">
        <v>2357</v>
      </c>
      <c r="M207" s="0" t="n">
        <v>0</v>
      </c>
      <c r="N207" s="0" t="n">
        <v>2357</v>
      </c>
      <c r="O207" s="0" t="n">
        <v>55891</v>
      </c>
      <c r="P207" s="1" t="n">
        <v>3.48</v>
      </c>
      <c r="Q207" s="0" t="n">
        <v>0</v>
      </c>
      <c r="R207" s="0" t="n">
        <v>1</v>
      </c>
      <c r="S207" s="0" t="s">
        <v>42</v>
      </c>
      <c r="T207" s="0" t="str">
        <f aca="false">IF(L207="inf","False","True")</f>
        <v>True</v>
      </c>
      <c r="U207" s="0" t="str">
        <f aca="false">IF(V207="inf","False","True")</f>
        <v>True</v>
      </c>
      <c r="V207" s="4" t="n">
        <v>193205.52</v>
      </c>
      <c r="W207" s="4" t="n">
        <v>49641.2</v>
      </c>
      <c r="X207" s="0" t="n">
        <v>6.71</v>
      </c>
      <c r="Y207" s="5" t="n">
        <f aca="false">V207-L207</f>
        <v>190848.52</v>
      </c>
      <c r="Z207" s="6" t="n">
        <f aca="false">Y207/L207</f>
        <v>80.9709461179465</v>
      </c>
      <c r="AA207" s="3" t="n">
        <f aca="false">X207-P207</f>
        <v>3.23</v>
      </c>
      <c r="AB207" s="6" t="n">
        <f aca="false">AA207/P207</f>
        <v>0.92816091954023</v>
      </c>
    </row>
    <row r="208" customFormat="false" ht="12.75" hidden="false" customHeight="false" outlineLevel="0" collapsed="false">
      <c r="A208" s="0" t="s">
        <v>253</v>
      </c>
      <c r="B208" s="0" t="n">
        <v>1</v>
      </c>
      <c r="C208" s="0" t="s">
        <v>31</v>
      </c>
      <c r="D208" s="0" t="s">
        <v>31</v>
      </c>
      <c r="E208" s="0" t="n">
        <v>833</v>
      </c>
      <c r="F208" s="0" t="n">
        <v>2600</v>
      </c>
      <c r="G208" s="0" t="n">
        <v>5</v>
      </c>
      <c r="H208" s="0" t="n">
        <v>6</v>
      </c>
      <c r="I208" s="0" t="n">
        <v>6</v>
      </c>
      <c r="J208" s="0" t="n">
        <v>8</v>
      </c>
      <c r="K208" s="0" t="n">
        <v>0.7</v>
      </c>
      <c r="L208" s="1" t="n">
        <v>2600</v>
      </c>
      <c r="M208" s="0" t="n">
        <v>0</v>
      </c>
      <c r="N208" s="0" t="n">
        <v>2600</v>
      </c>
      <c r="O208" s="0" t="n">
        <v>52070</v>
      </c>
      <c r="P208" s="1" t="n">
        <v>3.27</v>
      </c>
      <c r="Q208" s="0" t="n">
        <v>0</v>
      </c>
      <c r="R208" s="0" t="n">
        <v>1</v>
      </c>
      <c r="S208" s="0" t="s">
        <v>42</v>
      </c>
      <c r="T208" s="0" t="str">
        <f aca="false">IF(L208="inf","False","True")</f>
        <v>True</v>
      </c>
      <c r="U208" s="0" t="str">
        <f aca="false">IF(V208="inf","False","True")</f>
        <v>True</v>
      </c>
      <c r="V208" s="4" t="n">
        <v>103300.93</v>
      </c>
      <c r="W208" s="4" t="n">
        <v>45740.23</v>
      </c>
      <c r="X208" s="0" t="n">
        <v>3.78</v>
      </c>
      <c r="Y208" s="5" t="n">
        <f aca="false">V208-L208</f>
        <v>100700.93</v>
      </c>
      <c r="Z208" s="6" t="n">
        <f aca="false">Y208/L208</f>
        <v>38.7311269230769</v>
      </c>
      <c r="AA208" s="3" t="n">
        <f aca="false">X208-P208</f>
        <v>0.51</v>
      </c>
      <c r="AB208" s="6" t="n">
        <f aca="false">AA208/P208</f>
        <v>0.155963302752294</v>
      </c>
    </row>
    <row r="209" customFormat="false" ht="12.75" hidden="false" customHeight="false" outlineLevel="0" collapsed="false">
      <c r="A209" s="0" t="s">
        <v>254</v>
      </c>
      <c r="B209" s="0" t="n">
        <v>2</v>
      </c>
      <c r="C209" s="0" t="s">
        <v>31</v>
      </c>
      <c r="D209" s="0" t="s">
        <v>31</v>
      </c>
      <c r="E209" s="0" t="n">
        <v>833</v>
      </c>
      <c r="F209" s="0" t="n">
        <v>2428</v>
      </c>
      <c r="G209" s="0" t="n">
        <v>5</v>
      </c>
      <c r="H209" s="0" t="n">
        <v>6</v>
      </c>
      <c r="I209" s="0" t="n">
        <v>6</v>
      </c>
      <c r="J209" s="0" t="n">
        <v>8</v>
      </c>
      <c r="K209" s="0" t="n">
        <v>0.7</v>
      </c>
      <c r="L209" s="1" t="n">
        <v>2428</v>
      </c>
      <c r="M209" s="0" t="n">
        <v>0</v>
      </c>
      <c r="N209" s="0" t="n">
        <v>2428</v>
      </c>
      <c r="O209" s="0" t="n">
        <v>48371</v>
      </c>
      <c r="P209" s="1" t="n">
        <v>3.41</v>
      </c>
      <c r="Q209" s="0" t="n">
        <v>0</v>
      </c>
      <c r="R209" s="0" t="n">
        <v>1</v>
      </c>
      <c r="S209" s="0" t="s">
        <v>42</v>
      </c>
      <c r="T209" s="0" t="str">
        <f aca="false">IF(L209="inf","False","True")</f>
        <v>True</v>
      </c>
      <c r="U209" s="0" t="str">
        <f aca="false">IF(V209="inf","False","True")</f>
        <v>True</v>
      </c>
      <c r="V209" s="4" t="n">
        <v>80604.54</v>
      </c>
      <c r="W209" s="4" t="n">
        <v>47970.63</v>
      </c>
      <c r="X209" s="0" t="n">
        <v>16.8</v>
      </c>
      <c r="Y209" s="5" t="n">
        <f aca="false">V209-L209</f>
        <v>78176.54</v>
      </c>
      <c r="Z209" s="6" t="n">
        <f aca="false">Y209/L209</f>
        <v>32.1979159802306</v>
      </c>
      <c r="AA209" s="3" t="n">
        <f aca="false">X209-P209</f>
        <v>13.39</v>
      </c>
      <c r="AB209" s="6" t="n">
        <f aca="false">AA209/P209</f>
        <v>3.9266862170088</v>
      </c>
    </row>
    <row r="210" customFormat="false" ht="12.75" hidden="false" customHeight="false" outlineLevel="0" collapsed="false">
      <c r="A210" s="0" t="s">
        <v>255</v>
      </c>
      <c r="B210" s="0" t="n">
        <v>3</v>
      </c>
      <c r="C210" s="0" t="s">
        <v>31</v>
      </c>
      <c r="D210" s="0" t="s">
        <v>31</v>
      </c>
      <c r="E210" s="0" t="n">
        <v>833</v>
      </c>
      <c r="F210" s="0" t="n">
        <v>2417</v>
      </c>
      <c r="G210" s="0" t="n">
        <v>5</v>
      </c>
      <c r="H210" s="0" t="n">
        <v>6</v>
      </c>
      <c r="I210" s="0" t="n">
        <v>6</v>
      </c>
      <c r="J210" s="0" t="n">
        <v>8</v>
      </c>
      <c r="K210" s="0" t="n">
        <v>0.7</v>
      </c>
      <c r="L210" s="1" t="n">
        <v>44549.12</v>
      </c>
      <c r="M210" s="0" t="n">
        <v>42182.95</v>
      </c>
      <c r="N210" s="0" t="n">
        <v>2366.16</v>
      </c>
      <c r="O210" s="0" t="n">
        <v>39142.08</v>
      </c>
      <c r="P210" s="1" t="n">
        <v>95.38</v>
      </c>
      <c r="Q210" s="0" t="n">
        <v>0</v>
      </c>
      <c r="R210" s="0" t="n">
        <v>9</v>
      </c>
      <c r="S210" s="0" t="s">
        <v>256</v>
      </c>
      <c r="T210" s="0" t="str">
        <f aca="false">IF(L210="inf","False","True")</f>
        <v>True</v>
      </c>
      <c r="U210" s="0" t="str">
        <f aca="false">IF(V210="inf","False","True")</f>
        <v>True</v>
      </c>
      <c r="V210" s="4" t="n">
        <v>62656.25</v>
      </c>
      <c r="W210" s="4" t="n">
        <v>39756.21</v>
      </c>
      <c r="X210" s="0" t="n">
        <v>0.39</v>
      </c>
      <c r="Y210" s="5" t="n">
        <f aca="false">V210-L210</f>
        <v>18107.13</v>
      </c>
      <c r="Z210" s="6" t="n">
        <f aca="false">Y210/L210</f>
        <v>0.406453146549247</v>
      </c>
      <c r="AA210" s="3" t="n">
        <f aca="false">X210-P210</f>
        <v>-94.99</v>
      </c>
      <c r="AB210" s="6" t="n">
        <f aca="false">AA210/P210</f>
        <v>-0.995911092472216</v>
      </c>
    </row>
    <row r="211" customFormat="false" ht="12.75" hidden="false" customHeight="false" outlineLevel="0" collapsed="false">
      <c r="A211" s="0" t="s">
        <v>257</v>
      </c>
      <c r="B211" s="0" t="n">
        <v>4</v>
      </c>
      <c r="C211" s="0" t="s">
        <v>31</v>
      </c>
      <c r="D211" s="0" t="s">
        <v>31</v>
      </c>
      <c r="E211" s="0" t="n">
        <v>833</v>
      </c>
      <c r="F211" s="0" t="n">
        <v>2587</v>
      </c>
      <c r="G211" s="0" t="n">
        <v>5</v>
      </c>
      <c r="H211" s="0" t="n">
        <v>6</v>
      </c>
      <c r="I211" s="0" t="n">
        <v>6</v>
      </c>
      <c r="J211" s="0" t="n">
        <v>8</v>
      </c>
      <c r="K211" s="0" t="n">
        <v>0.7</v>
      </c>
      <c r="L211" s="1" t="n">
        <v>2587</v>
      </c>
      <c r="M211" s="0" t="n">
        <v>0</v>
      </c>
      <c r="N211" s="0" t="n">
        <v>2587</v>
      </c>
      <c r="O211" s="0" t="n">
        <v>54165</v>
      </c>
      <c r="P211" s="1" t="n">
        <v>3.47</v>
      </c>
      <c r="Q211" s="0" t="n">
        <v>0</v>
      </c>
      <c r="R211" s="0" t="n">
        <v>1</v>
      </c>
      <c r="S211" s="0" t="s">
        <v>42</v>
      </c>
      <c r="T211" s="0" t="str">
        <f aca="false">IF(L211="inf","False","True")</f>
        <v>True</v>
      </c>
      <c r="U211" s="0" t="str">
        <f aca="false">IF(V211="inf","False","True")</f>
        <v>True</v>
      </c>
      <c r="V211" s="4" t="n">
        <v>136198.47</v>
      </c>
      <c r="W211" s="4" t="n">
        <v>48213.8</v>
      </c>
      <c r="X211" s="0" t="n">
        <v>8.37</v>
      </c>
      <c r="Y211" s="5" t="n">
        <f aca="false">V211-L211</f>
        <v>133611.47</v>
      </c>
      <c r="Z211" s="6" t="n">
        <f aca="false">Y211/L211</f>
        <v>51.6472632392733</v>
      </c>
      <c r="AA211" s="3" t="n">
        <f aca="false">X211-P211</f>
        <v>4.9</v>
      </c>
      <c r="AB211" s="6" t="n">
        <f aca="false">AA211/P211</f>
        <v>1.41210374639769</v>
      </c>
    </row>
    <row r="212" customFormat="false" ht="12.75" hidden="false" customHeight="false" outlineLevel="0" collapsed="false">
      <c r="A212" s="0" t="s">
        <v>258</v>
      </c>
      <c r="B212" s="0" t="n">
        <v>0</v>
      </c>
      <c r="C212" s="0" t="s">
        <v>31</v>
      </c>
      <c r="D212" s="0" t="s">
        <v>31</v>
      </c>
      <c r="E212" s="0" t="n">
        <v>1166</v>
      </c>
      <c r="F212" s="0" t="n">
        <v>3300</v>
      </c>
      <c r="G212" s="0" t="n">
        <v>5</v>
      </c>
      <c r="H212" s="0" t="n">
        <v>6</v>
      </c>
      <c r="I212" s="0" t="n">
        <v>6</v>
      </c>
      <c r="J212" s="0" t="n">
        <v>8</v>
      </c>
      <c r="K212" s="0" t="n">
        <v>0.7</v>
      </c>
      <c r="L212" s="1" t="n">
        <v>3300</v>
      </c>
      <c r="M212" s="0" t="n">
        <v>0</v>
      </c>
      <c r="N212" s="0" t="n">
        <v>3300</v>
      </c>
      <c r="O212" s="0" t="n">
        <v>78256</v>
      </c>
      <c r="P212" s="1" t="n">
        <v>3.53</v>
      </c>
      <c r="Q212" s="0" t="n">
        <v>0</v>
      </c>
      <c r="R212" s="0" t="n">
        <v>1</v>
      </c>
      <c r="S212" s="0" t="s">
        <v>42</v>
      </c>
      <c r="T212" s="0" t="str">
        <f aca="false">IF(L212="inf","False","True")</f>
        <v>True</v>
      </c>
      <c r="U212" s="0" t="str">
        <f aca="false">IF(V212="inf","False","True")</f>
        <v>True</v>
      </c>
      <c r="V212" s="4" t="n">
        <v>161915.51</v>
      </c>
      <c r="W212" s="4" t="n">
        <v>74976.47</v>
      </c>
      <c r="X212" s="0" t="n">
        <v>6.2</v>
      </c>
      <c r="Y212" s="5" t="n">
        <f aca="false">V212-L212</f>
        <v>158615.51</v>
      </c>
      <c r="Z212" s="6" t="n">
        <f aca="false">Y212/L212</f>
        <v>48.0653060606061</v>
      </c>
      <c r="AA212" s="3" t="n">
        <f aca="false">X212-P212</f>
        <v>2.67</v>
      </c>
      <c r="AB212" s="6" t="n">
        <f aca="false">AA212/P212</f>
        <v>0.756373937677054</v>
      </c>
    </row>
    <row r="213" customFormat="false" ht="12.75" hidden="false" customHeight="false" outlineLevel="0" collapsed="false">
      <c r="A213" s="0" t="s">
        <v>259</v>
      </c>
      <c r="B213" s="0" t="n">
        <v>1</v>
      </c>
      <c r="C213" s="0" t="s">
        <v>31</v>
      </c>
      <c r="D213" s="0" t="s">
        <v>31</v>
      </c>
      <c r="E213" s="0" t="n">
        <v>1166</v>
      </c>
      <c r="F213" s="0" t="n">
        <v>3640</v>
      </c>
      <c r="G213" s="0" t="n">
        <v>5</v>
      </c>
      <c r="H213" s="0" t="n">
        <v>6</v>
      </c>
      <c r="I213" s="0" t="n">
        <v>6</v>
      </c>
      <c r="J213" s="0" t="n">
        <v>8</v>
      </c>
      <c r="K213" s="0" t="n">
        <v>0.7</v>
      </c>
      <c r="L213" s="1" t="n">
        <v>3640</v>
      </c>
      <c r="M213" s="0" t="n">
        <v>0</v>
      </c>
      <c r="N213" s="0" t="n">
        <v>3640</v>
      </c>
      <c r="O213" s="0" t="n">
        <v>72895</v>
      </c>
      <c r="P213" s="1" t="n">
        <v>3.39</v>
      </c>
      <c r="Q213" s="0" t="n">
        <v>0</v>
      </c>
      <c r="R213" s="0" t="n">
        <v>1</v>
      </c>
      <c r="S213" s="0" t="s">
        <v>42</v>
      </c>
      <c r="T213" s="0" t="str">
        <f aca="false">IF(L213="inf","False","True")</f>
        <v>True</v>
      </c>
      <c r="U213" s="0" t="str">
        <f aca="false">IF(V213="inf","False","True")</f>
        <v>True</v>
      </c>
      <c r="V213" s="4" t="n">
        <v>153934.91</v>
      </c>
      <c r="W213" s="4" t="n">
        <v>62240</v>
      </c>
      <c r="X213" s="0" t="n">
        <v>0.25</v>
      </c>
      <c r="Y213" s="5" t="n">
        <f aca="false">V213-L213</f>
        <v>150294.91</v>
      </c>
      <c r="Z213" s="6" t="n">
        <f aca="false">Y213/L213</f>
        <v>41.2898104395604</v>
      </c>
      <c r="AA213" s="3" t="n">
        <f aca="false">X213-P213</f>
        <v>-3.14</v>
      </c>
      <c r="AB213" s="6" t="n">
        <f aca="false">AA213/P213</f>
        <v>-0.926253687315634</v>
      </c>
    </row>
    <row r="214" customFormat="false" ht="12.75" hidden="false" customHeight="false" outlineLevel="0" collapsed="false">
      <c r="A214" s="0" t="s">
        <v>260</v>
      </c>
      <c r="B214" s="0" t="n">
        <v>2</v>
      </c>
      <c r="C214" s="0" t="s">
        <v>31</v>
      </c>
      <c r="D214" s="0" t="s">
        <v>31</v>
      </c>
      <c r="E214" s="0" t="n">
        <v>1166</v>
      </c>
      <c r="F214" s="0" t="n">
        <v>3400</v>
      </c>
      <c r="G214" s="0" t="n">
        <v>5</v>
      </c>
      <c r="H214" s="0" t="n">
        <v>6</v>
      </c>
      <c r="I214" s="0" t="n">
        <v>6</v>
      </c>
      <c r="J214" s="0" t="n">
        <v>8</v>
      </c>
      <c r="K214" s="0" t="n">
        <v>0.7</v>
      </c>
      <c r="L214" s="1" t="n">
        <v>3400</v>
      </c>
      <c r="M214" s="0" t="n">
        <v>0</v>
      </c>
      <c r="N214" s="0" t="n">
        <v>3400</v>
      </c>
      <c r="O214" s="0" t="n">
        <v>67745</v>
      </c>
      <c r="P214" s="1" t="n">
        <v>3.42</v>
      </c>
      <c r="Q214" s="0" t="n">
        <v>0</v>
      </c>
      <c r="R214" s="0" t="n">
        <v>1</v>
      </c>
      <c r="S214" s="0" t="s">
        <v>42</v>
      </c>
      <c r="T214" s="0" t="str">
        <f aca="false">IF(L214="inf","False","True")</f>
        <v>True</v>
      </c>
      <c r="U214" s="0" t="str">
        <f aca="false">IF(V214="inf","False","True")</f>
        <v>True</v>
      </c>
      <c r="V214" s="4" t="n">
        <v>93584.54</v>
      </c>
      <c r="W214" s="4" t="n">
        <v>62543.07</v>
      </c>
      <c r="X214" s="0" t="n">
        <v>14.91</v>
      </c>
      <c r="Y214" s="5" t="n">
        <f aca="false">V214-L214</f>
        <v>90184.54</v>
      </c>
      <c r="Z214" s="6" t="n">
        <f aca="false">Y214/L214</f>
        <v>26.5248647058824</v>
      </c>
      <c r="AA214" s="3" t="n">
        <f aca="false">X214-P214</f>
        <v>11.49</v>
      </c>
      <c r="AB214" s="6" t="n">
        <f aca="false">AA214/P214</f>
        <v>3.35964912280702</v>
      </c>
    </row>
    <row r="215" customFormat="false" ht="12.75" hidden="false" customHeight="false" outlineLevel="0" collapsed="false">
      <c r="A215" s="0" t="s">
        <v>261</v>
      </c>
      <c r="B215" s="0" t="n">
        <v>3</v>
      </c>
      <c r="C215" s="0" t="s">
        <v>31</v>
      </c>
      <c r="D215" s="0" t="s">
        <v>31</v>
      </c>
      <c r="E215" s="0" t="n">
        <v>1166</v>
      </c>
      <c r="F215" s="0" t="n">
        <v>3384</v>
      </c>
      <c r="G215" s="0" t="n">
        <v>5</v>
      </c>
      <c r="H215" s="0" t="n">
        <v>6</v>
      </c>
      <c r="I215" s="0" t="n">
        <v>6</v>
      </c>
      <c r="J215" s="0" t="n">
        <v>8</v>
      </c>
      <c r="K215" s="0" t="n">
        <v>0.7</v>
      </c>
      <c r="L215" s="1" t="n">
        <v>88068.8</v>
      </c>
      <c r="M215" s="0" t="n">
        <v>84971.68</v>
      </c>
      <c r="N215" s="0" t="n">
        <v>3097.12</v>
      </c>
      <c r="O215" s="0" t="n">
        <v>55430.05</v>
      </c>
      <c r="P215" s="1" t="n">
        <v>216.87</v>
      </c>
      <c r="Q215" s="0" t="n">
        <v>0</v>
      </c>
      <c r="R215" s="0" t="n">
        <v>19</v>
      </c>
      <c r="S215" s="0" t="s">
        <v>262</v>
      </c>
      <c r="T215" s="0" t="str">
        <f aca="false">IF(L215="inf","False","True")</f>
        <v>True</v>
      </c>
      <c r="U215" s="0" t="str">
        <f aca="false">IF(V215="inf","False","True")</f>
        <v>True</v>
      </c>
      <c r="V215" s="4" t="n">
        <v>74616.13</v>
      </c>
      <c r="W215" s="4" t="n">
        <v>55144.64</v>
      </c>
      <c r="X215" s="0" t="n">
        <v>16.14</v>
      </c>
      <c r="Y215" s="5" t="n">
        <f aca="false">V215-L215</f>
        <v>-13452.67</v>
      </c>
      <c r="Z215" s="6" t="n">
        <f aca="false">Y215/L215</f>
        <v>-0.152751825845248</v>
      </c>
      <c r="AA215" s="3" t="n">
        <f aca="false">X215-P215</f>
        <v>-200.73</v>
      </c>
      <c r="AB215" s="6" t="n">
        <f aca="false">AA215/P215</f>
        <v>-0.925577534928759</v>
      </c>
    </row>
    <row r="216" customFormat="false" ht="12.75" hidden="false" customHeight="false" outlineLevel="0" collapsed="false">
      <c r="A216" s="0" t="s">
        <v>263</v>
      </c>
      <c r="B216" s="0" t="n">
        <v>4</v>
      </c>
      <c r="C216" s="0" t="s">
        <v>31</v>
      </c>
      <c r="D216" s="0" t="s">
        <v>31</v>
      </c>
      <c r="E216" s="0" t="n">
        <v>1166</v>
      </c>
      <c r="F216" s="0" t="n">
        <v>3623</v>
      </c>
      <c r="G216" s="0" t="n">
        <v>5</v>
      </c>
      <c r="H216" s="0" t="n">
        <v>6</v>
      </c>
      <c r="I216" s="0" t="n">
        <v>6</v>
      </c>
      <c r="J216" s="0" t="n">
        <v>8</v>
      </c>
      <c r="K216" s="0" t="n">
        <v>0.7</v>
      </c>
      <c r="L216" s="1" t="n">
        <v>3623</v>
      </c>
      <c r="M216" s="0" t="n">
        <v>0</v>
      </c>
      <c r="N216" s="0" t="n">
        <v>3623</v>
      </c>
      <c r="O216" s="0" t="n">
        <v>75816</v>
      </c>
      <c r="P216" s="1" t="n">
        <v>4.03</v>
      </c>
      <c r="Q216" s="0" t="n">
        <v>0</v>
      </c>
      <c r="R216" s="0" t="n">
        <v>5</v>
      </c>
      <c r="S216" s="0" t="s">
        <v>42</v>
      </c>
      <c r="T216" s="0" t="str">
        <f aca="false">IF(L216="inf","False","True")</f>
        <v>True</v>
      </c>
      <c r="U216" s="0" t="str">
        <f aca="false">IF(V216="inf","False","True")</f>
        <v>True</v>
      </c>
      <c r="V216" s="4" t="n">
        <v>189564</v>
      </c>
      <c r="W216" s="4" t="n">
        <v>69245.77</v>
      </c>
      <c r="X216" s="0" t="n">
        <v>4</v>
      </c>
      <c r="Y216" s="5" t="n">
        <f aca="false">V216-L216</f>
        <v>185941</v>
      </c>
      <c r="Z216" s="6" t="n">
        <f aca="false">Y216/L216</f>
        <v>51.3223847640077</v>
      </c>
      <c r="AA216" s="3" t="n">
        <f aca="false">X216-P216</f>
        <v>-0.0300000000000003</v>
      </c>
      <c r="AB216" s="6" t="n">
        <f aca="false">AA216/P216</f>
        <v>-0.00744416873449138</v>
      </c>
    </row>
    <row r="217" customFormat="false" ht="12.75" hidden="false" customHeight="false" outlineLevel="0" collapsed="false">
      <c r="A217" s="0" t="s">
        <v>264</v>
      </c>
      <c r="B217" s="0" t="n">
        <v>0</v>
      </c>
      <c r="C217" s="0" t="s">
        <v>31</v>
      </c>
      <c r="D217" s="0" t="s">
        <v>31</v>
      </c>
      <c r="E217" s="0" t="n">
        <v>1666</v>
      </c>
      <c r="F217" s="0" t="n">
        <v>4717</v>
      </c>
      <c r="G217" s="0" t="n">
        <v>5</v>
      </c>
      <c r="H217" s="0" t="n">
        <v>6</v>
      </c>
      <c r="I217" s="0" t="n">
        <v>6</v>
      </c>
      <c r="J217" s="0" t="n">
        <v>8</v>
      </c>
      <c r="K217" s="0" t="n">
        <v>0.7</v>
      </c>
      <c r="L217" s="1" t="n">
        <v>4717</v>
      </c>
      <c r="M217" s="0" t="n">
        <v>0</v>
      </c>
      <c r="N217" s="0" t="n">
        <v>4717</v>
      </c>
      <c r="O217" s="0" t="n">
        <v>111735</v>
      </c>
      <c r="P217" s="1" t="n">
        <v>4.45</v>
      </c>
      <c r="Q217" s="0" t="n">
        <v>0</v>
      </c>
      <c r="R217" s="0" t="n">
        <v>5</v>
      </c>
      <c r="S217" s="0" t="s">
        <v>42</v>
      </c>
      <c r="T217" s="0" t="str">
        <f aca="false">IF(L217="inf","False","True")</f>
        <v>True</v>
      </c>
      <c r="U217" s="0" t="str">
        <f aca="false">IF(V217="inf","False","True")</f>
        <v>True</v>
      </c>
      <c r="V217" s="4" t="n">
        <v>200311.49</v>
      </c>
      <c r="W217" s="4" t="n">
        <v>102714.57</v>
      </c>
      <c r="X217" s="0" t="n">
        <v>28.52</v>
      </c>
      <c r="Y217" s="5" t="n">
        <f aca="false">V217-L217</f>
        <v>195594.49</v>
      </c>
      <c r="Z217" s="6" t="n">
        <f aca="false">Y217/L217</f>
        <v>41.4658660165359</v>
      </c>
      <c r="AA217" s="3" t="n">
        <f aca="false">X217-P217</f>
        <v>24.07</v>
      </c>
      <c r="AB217" s="6" t="n">
        <f aca="false">AA217/P217</f>
        <v>5.40898876404494</v>
      </c>
    </row>
    <row r="218" customFormat="false" ht="12.75" hidden="false" customHeight="false" outlineLevel="0" collapsed="false">
      <c r="A218" s="0" t="s">
        <v>265</v>
      </c>
      <c r="B218" s="0" t="n">
        <v>1</v>
      </c>
      <c r="C218" s="0" t="s">
        <v>31</v>
      </c>
      <c r="D218" s="0" t="s">
        <v>31</v>
      </c>
      <c r="E218" s="0" t="n">
        <v>1666</v>
      </c>
      <c r="F218" s="0" t="n">
        <v>5203</v>
      </c>
      <c r="G218" s="0" t="n">
        <v>5</v>
      </c>
      <c r="H218" s="0" t="n">
        <v>6</v>
      </c>
      <c r="I218" s="0" t="n">
        <v>6</v>
      </c>
      <c r="J218" s="0" t="n">
        <v>8</v>
      </c>
      <c r="K218" s="0" t="n">
        <v>0.7</v>
      </c>
      <c r="L218" s="1" t="n">
        <v>5203</v>
      </c>
      <c r="M218" s="0" t="n">
        <v>0</v>
      </c>
      <c r="N218" s="0" t="n">
        <v>5203</v>
      </c>
      <c r="O218" s="0" t="n">
        <v>104085</v>
      </c>
      <c r="P218" s="1" t="n">
        <v>3.58</v>
      </c>
      <c r="Q218" s="0" t="n">
        <v>0</v>
      </c>
      <c r="R218" s="0" t="n">
        <v>1</v>
      </c>
      <c r="S218" s="0" t="s">
        <v>42</v>
      </c>
      <c r="T218" s="0" t="str">
        <f aca="false">IF(L218="inf","False","True")</f>
        <v>True</v>
      </c>
      <c r="U218" s="0" t="str">
        <f aca="false">IF(V218="inf","False","True")</f>
        <v>True</v>
      </c>
      <c r="V218" s="4" t="n">
        <v>57971.47</v>
      </c>
      <c r="W218" s="4" t="n">
        <v>98962.51</v>
      </c>
      <c r="X218" s="0" t="n">
        <v>16.02</v>
      </c>
      <c r="Y218" s="5" t="n">
        <f aca="false">V218-L218</f>
        <v>52768.47</v>
      </c>
      <c r="Z218" s="6" t="n">
        <f aca="false">Y218/L218</f>
        <v>10.1419315779358</v>
      </c>
      <c r="AA218" s="3" t="n">
        <f aca="false">X218-P218</f>
        <v>12.44</v>
      </c>
      <c r="AB218" s="6" t="n">
        <f aca="false">AA218/P218</f>
        <v>3.47486033519553</v>
      </c>
    </row>
    <row r="219" customFormat="false" ht="12.75" hidden="false" customHeight="false" outlineLevel="0" collapsed="false">
      <c r="A219" s="0" t="s">
        <v>266</v>
      </c>
      <c r="B219" s="0" t="n">
        <v>2</v>
      </c>
      <c r="C219" s="0" t="s">
        <v>31</v>
      </c>
      <c r="D219" s="0" t="s">
        <v>31</v>
      </c>
      <c r="E219" s="0" t="n">
        <v>1666</v>
      </c>
      <c r="F219" s="0" t="n">
        <v>4860</v>
      </c>
      <c r="G219" s="0" t="n">
        <v>5</v>
      </c>
      <c r="H219" s="0" t="n">
        <v>6</v>
      </c>
      <c r="I219" s="0" t="n">
        <v>6</v>
      </c>
      <c r="J219" s="0" t="n">
        <v>8</v>
      </c>
      <c r="K219" s="0" t="n">
        <v>0.7</v>
      </c>
      <c r="L219" s="1" t="n">
        <v>4860</v>
      </c>
      <c r="M219" s="0" t="n">
        <v>0</v>
      </c>
      <c r="N219" s="0" t="n">
        <v>4860</v>
      </c>
      <c r="O219" s="0" t="n">
        <v>96709</v>
      </c>
      <c r="P219" s="1" t="n">
        <v>4.05</v>
      </c>
      <c r="Q219" s="0" t="n">
        <v>0</v>
      </c>
      <c r="R219" s="0" t="n">
        <v>1</v>
      </c>
      <c r="S219" s="0" t="s">
        <v>42</v>
      </c>
      <c r="T219" s="0" t="str">
        <f aca="false">IF(L219="inf","False","True")</f>
        <v>True</v>
      </c>
      <c r="U219" s="0" t="str">
        <f aca="false">IF(V219="inf","False","True")</f>
        <v>True</v>
      </c>
      <c r="V219" s="4" t="n">
        <v>20956.96</v>
      </c>
      <c r="W219" s="4" t="n">
        <v>93467.29</v>
      </c>
      <c r="X219" s="0" t="n">
        <v>12.96</v>
      </c>
      <c r="Y219" s="5" t="n">
        <f aca="false">V219-L219</f>
        <v>16096.96</v>
      </c>
      <c r="Z219" s="6" t="n">
        <f aca="false">Y219/L219</f>
        <v>3.3121316872428</v>
      </c>
      <c r="AA219" s="3" t="n">
        <f aca="false">X219-P219</f>
        <v>8.91</v>
      </c>
      <c r="AB219" s="6" t="n">
        <f aca="false">AA219/P219</f>
        <v>2.2</v>
      </c>
    </row>
    <row r="220" customFormat="false" ht="12.75" hidden="false" customHeight="false" outlineLevel="0" collapsed="false">
      <c r="A220" s="0" t="s">
        <v>267</v>
      </c>
      <c r="B220" s="0" t="n">
        <v>3</v>
      </c>
      <c r="C220" s="0" t="s">
        <v>31</v>
      </c>
      <c r="D220" s="0" t="s">
        <v>31</v>
      </c>
      <c r="E220" s="0" t="n">
        <v>1666</v>
      </c>
      <c r="F220" s="0" t="n">
        <v>4839</v>
      </c>
      <c r="G220" s="0" t="n">
        <v>5</v>
      </c>
      <c r="H220" s="0" t="n">
        <v>6</v>
      </c>
      <c r="I220" s="0" t="n">
        <v>6</v>
      </c>
      <c r="J220" s="0" t="n">
        <v>8</v>
      </c>
      <c r="K220" s="0" t="n">
        <v>0.7</v>
      </c>
      <c r="L220" s="1" t="n">
        <v>45682.89</v>
      </c>
      <c r="M220" s="0" t="n">
        <v>41035.4</v>
      </c>
      <c r="N220" s="0" t="n">
        <v>4647.48</v>
      </c>
      <c r="O220" s="0" t="n">
        <v>80458.79</v>
      </c>
      <c r="P220" s="1" t="n">
        <v>31.02</v>
      </c>
      <c r="Q220" s="0" t="n">
        <v>0</v>
      </c>
      <c r="R220" s="0" t="n">
        <v>5</v>
      </c>
      <c r="S220" s="0" t="s">
        <v>268</v>
      </c>
      <c r="T220" s="0" t="str">
        <f aca="false">IF(L220="inf","False","True")</f>
        <v>True</v>
      </c>
      <c r="U220" s="0" t="str">
        <f aca="false">IF(V220="inf","False","True")</f>
        <v>True</v>
      </c>
      <c r="V220" s="4" t="n">
        <v>95820.32</v>
      </c>
      <c r="W220" s="4" t="n">
        <v>78654.87</v>
      </c>
      <c r="X220" s="0" t="n">
        <v>66.81</v>
      </c>
      <c r="Y220" s="5" t="n">
        <f aca="false">V220-L220</f>
        <v>50137.43</v>
      </c>
      <c r="Z220" s="6" t="n">
        <f aca="false">Y220/L220</f>
        <v>1.09751003056068</v>
      </c>
      <c r="AA220" s="3" t="n">
        <f aca="false">X220-P220</f>
        <v>35.79</v>
      </c>
      <c r="AB220" s="6" t="n">
        <f aca="false">AA220/P220</f>
        <v>1.15377176015474</v>
      </c>
    </row>
    <row r="221" customFormat="false" ht="12.75" hidden="false" customHeight="false" outlineLevel="0" collapsed="false">
      <c r="A221" s="0" t="s">
        <v>269</v>
      </c>
      <c r="B221" s="0" t="n">
        <v>4</v>
      </c>
      <c r="C221" s="0" t="s">
        <v>31</v>
      </c>
      <c r="D221" s="0" t="s">
        <v>31</v>
      </c>
      <c r="E221" s="0" t="n">
        <v>1666</v>
      </c>
      <c r="F221" s="0" t="n">
        <v>5179</v>
      </c>
      <c r="G221" s="0" t="n">
        <v>5</v>
      </c>
      <c r="H221" s="0" t="n">
        <v>6</v>
      </c>
      <c r="I221" s="0" t="n">
        <v>6</v>
      </c>
      <c r="J221" s="0" t="n">
        <v>8</v>
      </c>
      <c r="K221" s="0" t="n">
        <v>0.7</v>
      </c>
      <c r="L221" s="1" t="n">
        <v>5179</v>
      </c>
      <c r="M221" s="0" t="n">
        <v>0</v>
      </c>
      <c r="N221" s="0" t="n">
        <v>5179</v>
      </c>
      <c r="O221" s="0" t="n">
        <v>108221</v>
      </c>
      <c r="P221" s="1" t="n">
        <v>3.58</v>
      </c>
      <c r="Q221" s="0" t="n">
        <v>0</v>
      </c>
      <c r="R221" s="0" t="n">
        <v>1</v>
      </c>
      <c r="S221" s="0" t="s">
        <v>42</v>
      </c>
      <c r="T221" s="0" t="str">
        <f aca="false">IF(L221="inf","False","True")</f>
        <v>True</v>
      </c>
      <c r="U221" s="0" t="str">
        <f aca="false">IF(V221="inf","False","True")</f>
        <v>False</v>
      </c>
      <c r="V221" s="4" t="s">
        <v>37</v>
      </c>
      <c r="W221" s="4" t="s">
        <v>37</v>
      </c>
      <c r="X221" s="0" t="n">
        <v>10.54</v>
      </c>
      <c r="Y221" s="5" t="e">
        <f aca="false">V221-L221</f>
        <v>#VALUE!</v>
      </c>
      <c r="Z221" s="6" t="e">
        <f aca="false">Y221/L221</f>
        <v>#VALUE!</v>
      </c>
      <c r="AA221" s="3" t="n">
        <f aca="false">X221-P221</f>
        <v>6.96</v>
      </c>
      <c r="AB221" s="6" t="n">
        <f aca="false">AA221/P221</f>
        <v>1.94413407821229</v>
      </c>
    </row>
    <row r="222" customFormat="false" ht="12.75" hidden="false" customHeight="false" outlineLevel="0" collapsed="false">
      <c r="A222" s="0" t="s">
        <v>270</v>
      </c>
      <c r="B222" s="0" t="n">
        <v>0</v>
      </c>
      <c r="C222" s="0" t="s">
        <v>31</v>
      </c>
      <c r="D222" s="0" t="s">
        <v>31</v>
      </c>
      <c r="E222" s="0" t="n">
        <v>500</v>
      </c>
      <c r="F222" s="0" t="n">
        <v>1581</v>
      </c>
      <c r="G222" s="0" t="n">
        <v>5</v>
      </c>
      <c r="H222" s="0" t="n">
        <v>6</v>
      </c>
      <c r="I222" s="0" t="n">
        <v>6</v>
      </c>
      <c r="J222" s="0" t="n">
        <v>12</v>
      </c>
      <c r="K222" s="0" t="n">
        <v>0.7</v>
      </c>
      <c r="L222" s="1" t="n">
        <v>1581</v>
      </c>
      <c r="M222" s="0" t="n">
        <v>0</v>
      </c>
      <c r="N222" s="0" t="n">
        <v>1581</v>
      </c>
      <c r="O222" s="0" t="n">
        <v>29475</v>
      </c>
      <c r="P222" s="1" t="n">
        <v>6.21</v>
      </c>
      <c r="Q222" s="0" t="n">
        <v>0</v>
      </c>
      <c r="R222" s="0" t="n">
        <v>7</v>
      </c>
      <c r="S222" s="0" t="s">
        <v>42</v>
      </c>
      <c r="T222" s="0" t="str">
        <f aca="false">IF(L222="inf","False","True")</f>
        <v>True</v>
      </c>
      <c r="U222" s="0" t="str">
        <f aca="false">IF(V222="inf","False","True")</f>
        <v>True</v>
      </c>
      <c r="V222" s="4" t="n">
        <v>52288.15</v>
      </c>
      <c r="W222" s="4" t="n">
        <v>28840.71</v>
      </c>
      <c r="X222" s="0" t="n">
        <v>98.56</v>
      </c>
      <c r="Y222" s="5" t="n">
        <f aca="false">V222-L222</f>
        <v>50707.15</v>
      </c>
      <c r="Z222" s="6" t="n">
        <f aca="false">Y222/L222</f>
        <v>32.0728336495889</v>
      </c>
      <c r="AA222" s="3" t="n">
        <f aca="false">X222-P222</f>
        <v>92.35</v>
      </c>
      <c r="AB222" s="6" t="n">
        <f aca="false">AA222/P222</f>
        <v>14.8711755233494</v>
      </c>
    </row>
    <row r="223" customFormat="false" ht="12.75" hidden="false" customHeight="false" outlineLevel="0" collapsed="false">
      <c r="A223" s="0" t="s">
        <v>271</v>
      </c>
      <c r="B223" s="0" t="n">
        <v>1</v>
      </c>
      <c r="C223" s="0" t="s">
        <v>31</v>
      </c>
      <c r="D223" s="0" t="s">
        <v>31</v>
      </c>
      <c r="E223" s="0" t="n">
        <v>500</v>
      </c>
      <c r="F223" s="0" t="n">
        <v>1588</v>
      </c>
      <c r="G223" s="0" t="n">
        <v>5</v>
      </c>
      <c r="H223" s="0" t="n">
        <v>6</v>
      </c>
      <c r="I223" s="0" t="n">
        <v>6</v>
      </c>
      <c r="J223" s="0" t="n">
        <v>12</v>
      </c>
      <c r="K223" s="0" t="n">
        <v>0.7</v>
      </c>
      <c r="L223" s="1" t="n">
        <v>1588</v>
      </c>
      <c r="M223" s="0" t="n">
        <v>0</v>
      </c>
      <c r="N223" s="0" t="n">
        <v>1588</v>
      </c>
      <c r="O223" s="0" t="n">
        <v>28011</v>
      </c>
      <c r="P223" s="1" t="n">
        <v>7.12</v>
      </c>
      <c r="Q223" s="0" t="n">
        <v>0</v>
      </c>
      <c r="R223" s="0" t="n">
        <v>6</v>
      </c>
      <c r="S223" s="0" t="s">
        <v>42</v>
      </c>
      <c r="T223" s="0" t="str">
        <f aca="false">IF(L223="inf","False","True")</f>
        <v>True</v>
      </c>
      <c r="U223" s="0" t="str">
        <f aca="false">IF(V223="inf","False","True")</f>
        <v>True</v>
      </c>
      <c r="V223" s="4" t="n">
        <v>39453.19</v>
      </c>
      <c r="W223" s="4" t="n">
        <v>25502.68</v>
      </c>
      <c r="X223" s="0" t="n">
        <v>266.62</v>
      </c>
      <c r="Y223" s="5" t="n">
        <f aca="false">V223-L223</f>
        <v>37865.19</v>
      </c>
      <c r="Z223" s="6" t="n">
        <f aca="false">Y223/L223</f>
        <v>23.8445780856423</v>
      </c>
      <c r="AA223" s="3" t="n">
        <f aca="false">X223-P223</f>
        <v>259.5</v>
      </c>
      <c r="AB223" s="6" t="n">
        <f aca="false">AA223/P223</f>
        <v>36.4466292134831</v>
      </c>
    </row>
    <row r="224" customFormat="false" ht="12.75" hidden="false" customHeight="false" outlineLevel="0" collapsed="false">
      <c r="A224" s="0" t="s">
        <v>272</v>
      </c>
      <c r="B224" s="0" t="n">
        <v>2</v>
      </c>
      <c r="C224" s="0" t="s">
        <v>31</v>
      </c>
      <c r="D224" s="0" t="s">
        <v>31</v>
      </c>
      <c r="E224" s="0" t="n">
        <v>500</v>
      </c>
      <c r="F224" s="0" t="n">
        <v>1566</v>
      </c>
      <c r="G224" s="0" t="n">
        <v>5</v>
      </c>
      <c r="H224" s="0" t="n">
        <v>6</v>
      </c>
      <c r="I224" s="0" t="n">
        <v>6</v>
      </c>
      <c r="J224" s="0" t="n">
        <v>12</v>
      </c>
      <c r="K224" s="0" t="n">
        <v>0.7</v>
      </c>
      <c r="L224" s="1" t="n">
        <v>1566</v>
      </c>
      <c r="M224" s="0" t="n">
        <v>0</v>
      </c>
      <c r="N224" s="0" t="n">
        <v>1566</v>
      </c>
      <c r="O224" s="0" t="n">
        <v>31360</v>
      </c>
      <c r="P224" s="1" t="n">
        <v>4.13</v>
      </c>
      <c r="Q224" s="0" t="n">
        <v>0</v>
      </c>
      <c r="R224" s="0" t="n">
        <v>1</v>
      </c>
      <c r="S224" s="0" t="s">
        <v>42</v>
      </c>
      <c r="T224" s="0" t="str">
        <f aca="false">IF(L224="inf","False","True")</f>
        <v>True</v>
      </c>
      <c r="U224" s="0" t="str">
        <f aca="false">IF(V224="inf","False","True")</f>
        <v>True</v>
      </c>
      <c r="V224" s="4" t="n">
        <v>97685.14</v>
      </c>
      <c r="W224" s="4" t="n">
        <v>26850.81</v>
      </c>
      <c r="X224" s="0" t="n">
        <v>6.95</v>
      </c>
      <c r="Y224" s="5" t="n">
        <f aca="false">V224-L224</f>
        <v>96119.14</v>
      </c>
      <c r="Z224" s="6" t="n">
        <f aca="false">Y224/L224</f>
        <v>61.3787611749681</v>
      </c>
      <c r="AA224" s="3" t="n">
        <f aca="false">X224-P224</f>
        <v>2.82</v>
      </c>
      <c r="AB224" s="6" t="n">
        <f aca="false">AA224/P224</f>
        <v>0.682808716707022</v>
      </c>
    </row>
    <row r="225" customFormat="false" ht="12.75" hidden="false" customHeight="false" outlineLevel="0" collapsed="false">
      <c r="A225" s="0" t="s">
        <v>273</v>
      </c>
      <c r="B225" s="0" t="n">
        <v>3</v>
      </c>
      <c r="C225" s="0" t="s">
        <v>31</v>
      </c>
      <c r="D225" s="0" t="s">
        <v>31</v>
      </c>
      <c r="E225" s="0" t="n">
        <v>500</v>
      </c>
      <c r="F225" s="0" t="n">
        <v>1562</v>
      </c>
      <c r="G225" s="0" t="n">
        <v>5</v>
      </c>
      <c r="H225" s="0" t="n">
        <v>6</v>
      </c>
      <c r="I225" s="0" t="n">
        <v>6</v>
      </c>
      <c r="J225" s="0" t="n">
        <v>12</v>
      </c>
      <c r="K225" s="0" t="n">
        <v>0.7</v>
      </c>
      <c r="L225" s="1" t="n">
        <v>55580.44</v>
      </c>
      <c r="M225" s="0" t="n">
        <v>54096.82</v>
      </c>
      <c r="N225" s="0" t="n">
        <v>1483.62</v>
      </c>
      <c r="O225" s="0" t="n">
        <v>25696.36</v>
      </c>
      <c r="P225" s="1" t="n">
        <v>608.09</v>
      </c>
      <c r="Q225" s="0" t="n">
        <v>0</v>
      </c>
      <c r="R225" s="0" t="n">
        <v>9</v>
      </c>
      <c r="S225" s="0" t="s">
        <v>274</v>
      </c>
      <c r="T225" s="0" t="str">
        <f aca="false">IF(L225="inf","False","True")</f>
        <v>True</v>
      </c>
      <c r="U225" s="0" t="str">
        <f aca="false">IF(V225="inf","False","True")</f>
        <v>True</v>
      </c>
      <c r="V225" s="4" t="n">
        <v>23657.12</v>
      </c>
      <c r="W225" s="4" t="n">
        <v>28807.62</v>
      </c>
      <c r="X225" s="0" t="n">
        <v>22.78</v>
      </c>
      <c r="Y225" s="5" t="n">
        <f aca="false">V225-L225</f>
        <v>-31923.32</v>
      </c>
      <c r="Z225" s="6" t="n">
        <f aca="false">Y225/L225</f>
        <v>-0.574362491552784</v>
      </c>
      <c r="AA225" s="3" t="n">
        <f aca="false">X225-P225</f>
        <v>-585.31</v>
      </c>
      <c r="AB225" s="6" t="n">
        <f aca="false">AA225/P225</f>
        <v>-0.962538440033548</v>
      </c>
    </row>
    <row r="226" customFormat="false" ht="12.75" hidden="false" customHeight="false" outlineLevel="0" collapsed="false">
      <c r="A226" s="0" t="s">
        <v>275</v>
      </c>
      <c r="B226" s="0" t="n">
        <v>4</v>
      </c>
      <c r="C226" s="0" t="s">
        <v>31</v>
      </c>
      <c r="D226" s="0" t="s">
        <v>31</v>
      </c>
      <c r="E226" s="0" t="n">
        <v>500</v>
      </c>
      <c r="F226" s="0" t="n">
        <v>1629</v>
      </c>
      <c r="G226" s="0" t="n">
        <v>5</v>
      </c>
      <c r="H226" s="0" t="n">
        <v>6</v>
      </c>
      <c r="I226" s="0" t="n">
        <v>6</v>
      </c>
      <c r="J226" s="0" t="n">
        <v>12</v>
      </c>
      <c r="K226" s="0" t="n">
        <v>0.7</v>
      </c>
      <c r="L226" s="1" t="n">
        <v>1629</v>
      </c>
      <c r="M226" s="0" t="n">
        <v>0</v>
      </c>
      <c r="N226" s="0" t="n">
        <v>1629</v>
      </c>
      <c r="O226" s="0" t="n">
        <v>26192</v>
      </c>
      <c r="P226" s="1" t="n">
        <v>4.55</v>
      </c>
      <c r="Q226" s="0" t="n">
        <v>0</v>
      </c>
      <c r="R226" s="0" t="n">
        <v>1</v>
      </c>
      <c r="S226" s="0" t="s">
        <v>42</v>
      </c>
      <c r="T226" s="0" t="str">
        <f aca="false">IF(L226="inf","False","True")</f>
        <v>True</v>
      </c>
      <c r="U226" s="0" t="str">
        <f aca="false">IF(V226="inf","False","True")</f>
        <v>True</v>
      </c>
      <c r="V226" s="4" t="n">
        <v>45318.94</v>
      </c>
      <c r="W226" s="4" t="n">
        <v>23725.61</v>
      </c>
      <c r="X226" s="0" t="n">
        <v>0</v>
      </c>
      <c r="Y226" s="5" t="n">
        <f aca="false">V226-L226</f>
        <v>43689.94</v>
      </c>
      <c r="Z226" s="6" t="n">
        <f aca="false">Y226/L226</f>
        <v>26.8200982197667</v>
      </c>
      <c r="AA226" s="3" t="n">
        <f aca="false">X226-P226</f>
        <v>-4.55</v>
      </c>
      <c r="AB226" s="6" t="n">
        <f aca="false">AA226/P226</f>
        <v>-1</v>
      </c>
    </row>
    <row r="227" customFormat="false" ht="12.75" hidden="false" customHeight="false" outlineLevel="0" collapsed="false">
      <c r="A227" s="0" t="s">
        <v>276</v>
      </c>
      <c r="B227" s="0" t="n">
        <v>0</v>
      </c>
      <c r="C227" s="0" t="s">
        <v>31</v>
      </c>
      <c r="D227" s="0" t="s">
        <v>31</v>
      </c>
      <c r="E227" s="0" t="n">
        <v>833</v>
      </c>
      <c r="F227" s="0" t="n">
        <v>2638</v>
      </c>
      <c r="G227" s="0" t="n">
        <v>5</v>
      </c>
      <c r="H227" s="0" t="n">
        <v>6</v>
      </c>
      <c r="I227" s="0" t="n">
        <v>6</v>
      </c>
      <c r="J227" s="0" t="n">
        <v>12</v>
      </c>
      <c r="K227" s="0" t="n">
        <v>0.7</v>
      </c>
      <c r="L227" s="1" t="n">
        <v>2638</v>
      </c>
      <c r="M227" s="0" t="n">
        <v>0</v>
      </c>
      <c r="N227" s="0" t="n">
        <v>2638</v>
      </c>
      <c r="O227" s="0" t="n">
        <v>47342</v>
      </c>
      <c r="P227" s="1" t="n">
        <v>6.89</v>
      </c>
      <c r="Q227" s="0" t="n">
        <v>0</v>
      </c>
      <c r="R227" s="0" t="n">
        <v>6</v>
      </c>
      <c r="S227" s="0" t="s">
        <v>42</v>
      </c>
      <c r="T227" s="0" t="str">
        <f aca="false">IF(L227="inf","False","True")</f>
        <v>True</v>
      </c>
      <c r="U227" s="0" t="str">
        <f aca="false">IF(V227="inf","False","True")</f>
        <v>True</v>
      </c>
      <c r="V227" s="4" t="n">
        <v>46519.16</v>
      </c>
      <c r="W227" s="4" t="n">
        <v>47268.45</v>
      </c>
      <c r="X227" s="0" t="n">
        <v>218.01</v>
      </c>
      <c r="Y227" s="5" t="n">
        <f aca="false">V227-L227</f>
        <v>43881.16</v>
      </c>
      <c r="Z227" s="6" t="n">
        <f aca="false">Y227/L227</f>
        <v>16.634253222138</v>
      </c>
      <c r="AA227" s="3" t="n">
        <f aca="false">X227-P227</f>
        <v>211.12</v>
      </c>
      <c r="AB227" s="6" t="n">
        <f aca="false">AA227/P227</f>
        <v>30.6415094339623</v>
      </c>
    </row>
    <row r="228" customFormat="false" ht="12.75" hidden="false" customHeight="false" outlineLevel="0" collapsed="false">
      <c r="A228" s="0" t="s">
        <v>277</v>
      </c>
      <c r="B228" s="0" t="n">
        <v>1</v>
      </c>
      <c r="C228" s="0" t="s">
        <v>31</v>
      </c>
      <c r="D228" s="0" t="s">
        <v>31</v>
      </c>
      <c r="E228" s="0" t="n">
        <v>833</v>
      </c>
      <c r="F228" s="0" t="n">
        <v>2648</v>
      </c>
      <c r="G228" s="0" t="n">
        <v>5</v>
      </c>
      <c r="H228" s="0" t="n">
        <v>6</v>
      </c>
      <c r="I228" s="0" t="n">
        <v>6</v>
      </c>
      <c r="J228" s="0" t="n">
        <v>12</v>
      </c>
      <c r="K228" s="0" t="n">
        <v>0.7</v>
      </c>
      <c r="L228" s="1" t="n">
        <v>2648</v>
      </c>
      <c r="M228" s="0" t="n">
        <v>0</v>
      </c>
      <c r="N228" s="0" t="n">
        <v>2648</v>
      </c>
      <c r="O228" s="0" t="n">
        <v>46385</v>
      </c>
      <c r="P228" s="1" t="n">
        <v>7.45</v>
      </c>
      <c r="Q228" s="0" t="n">
        <v>0</v>
      </c>
      <c r="R228" s="0" t="n">
        <v>1</v>
      </c>
      <c r="S228" s="0" t="s">
        <v>42</v>
      </c>
      <c r="T228" s="0" t="str">
        <f aca="false">IF(L228="inf","False","True")</f>
        <v>True</v>
      </c>
      <c r="U228" s="0" t="str">
        <f aca="false">IF(V228="inf","False","True")</f>
        <v>True</v>
      </c>
      <c r="V228" s="4" t="n">
        <v>80891.33</v>
      </c>
      <c r="W228" s="4" t="n">
        <v>44067.59</v>
      </c>
      <c r="X228" s="0" t="n">
        <v>132.1</v>
      </c>
      <c r="Y228" s="5" t="n">
        <f aca="false">V228-L228</f>
        <v>78243.33</v>
      </c>
      <c r="Z228" s="6" t="n">
        <f aca="false">Y228/L228</f>
        <v>29.548085347432</v>
      </c>
      <c r="AA228" s="3" t="n">
        <f aca="false">X228-P228</f>
        <v>124.65</v>
      </c>
      <c r="AB228" s="6" t="n">
        <f aca="false">AA228/P228</f>
        <v>16.7315436241611</v>
      </c>
    </row>
    <row r="229" customFormat="false" ht="12.75" hidden="false" customHeight="false" outlineLevel="0" collapsed="false">
      <c r="A229" s="0" t="s">
        <v>278</v>
      </c>
      <c r="B229" s="0" t="n">
        <v>2</v>
      </c>
      <c r="C229" s="0" t="s">
        <v>31</v>
      </c>
      <c r="D229" s="0" t="s">
        <v>31</v>
      </c>
      <c r="E229" s="0" t="n">
        <v>833</v>
      </c>
      <c r="F229" s="0" t="n">
        <v>2610</v>
      </c>
      <c r="G229" s="0" t="n">
        <v>5</v>
      </c>
      <c r="H229" s="0" t="n">
        <v>6</v>
      </c>
      <c r="I229" s="0" t="n">
        <v>6</v>
      </c>
      <c r="J229" s="0" t="n">
        <v>12</v>
      </c>
      <c r="K229" s="0" t="n">
        <v>0.7</v>
      </c>
      <c r="L229" s="1" t="n">
        <v>2610</v>
      </c>
      <c r="M229" s="0" t="n">
        <v>0</v>
      </c>
      <c r="N229" s="0" t="n">
        <v>2610</v>
      </c>
      <c r="O229" s="0" t="n">
        <v>52280</v>
      </c>
      <c r="P229" s="1" t="n">
        <v>4.18</v>
      </c>
      <c r="Q229" s="0" t="n">
        <v>0</v>
      </c>
      <c r="R229" s="0" t="n">
        <v>1</v>
      </c>
      <c r="S229" s="0" t="s">
        <v>42</v>
      </c>
      <c r="T229" s="0" t="str">
        <f aca="false">IF(L229="inf","False","True")</f>
        <v>True</v>
      </c>
      <c r="U229" s="0" t="str">
        <f aca="false">IF(V229="inf","False","True")</f>
        <v>True</v>
      </c>
      <c r="V229" s="4" t="n">
        <v>204990.48</v>
      </c>
      <c r="W229" s="4" t="n">
        <v>45148.9</v>
      </c>
      <c r="X229" s="0" t="n">
        <v>22.99</v>
      </c>
      <c r="Y229" s="5" t="n">
        <f aca="false">V229-L229</f>
        <v>202380.48</v>
      </c>
      <c r="Z229" s="6" t="n">
        <f aca="false">Y229/L229</f>
        <v>77.5404137931035</v>
      </c>
      <c r="AA229" s="3" t="n">
        <f aca="false">X229-P229</f>
        <v>18.81</v>
      </c>
      <c r="AB229" s="6" t="n">
        <f aca="false">AA229/P229</f>
        <v>4.5</v>
      </c>
    </row>
    <row r="230" customFormat="false" ht="12.75" hidden="false" customHeight="false" outlineLevel="0" collapsed="false">
      <c r="A230" s="0" t="s">
        <v>279</v>
      </c>
      <c r="B230" s="0" t="n">
        <v>3</v>
      </c>
      <c r="C230" s="0" t="s">
        <v>31</v>
      </c>
      <c r="D230" s="0" t="s">
        <v>31</v>
      </c>
      <c r="E230" s="0" t="n">
        <v>833</v>
      </c>
      <c r="F230" s="0" t="n">
        <v>2605</v>
      </c>
      <c r="G230" s="0" t="n">
        <v>5</v>
      </c>
      <c r="H230" s="0" t="n">
        <v>6</v>
      </c>
      <c r="I230" s="0" t="n">
        <v>6</v>
      </c>
      <c r="J230" s="0" t="n">
        <v>12</v>
      </c>
      <c r="K230" s="0" t="n">
        <v>0.7</v>
      </c>
      <c r="L230" s="1" t="n">
        <v>97522.84</v>
      </c>
      <c r="M230" s="0" t="n">
        <v>95121.51</v>
      </c>
      <c r="N230" s="0" t="n">
        <v>2401.33</v>
      </c>
      <c r="O230" s="0" t="n">
        <v>42505.91</v>
      </c>
      <c r="P230" s="1" t="n">
        <v>408.5</v>
      </c>
      <c r="Q230" s="0" t="n">
        <v>0.02</v>
      </c>
      <c r="R230" s="0" t="n">
        <v>4</v>
      </c>
      <c r="S230" s="0" t="s">
        <v>280</v>
      </c>
      <c r="T230" s="0" t="str">
        <f aca="false">IF(L230="inf","False","True")</f>
        <v>True</v>
      </c>
      <c r="U230" s="0" t="str">
        <f aca="false">IF(V230="inf","False","True")</f>
        <v>True</v>
      </c>
      <c r="V230" s="4" t="n">
        <v>96087.79</v>
      </c>
      <c r="W230" s="4" t="n">
        <v>45294.46</v>
      </c>
      <c r="X230" s="0" t="n">
        <v>287.95</v>
      </c>
      <c r="Y230" s="5" t="n">
        <f aca="false">V230-L230</f>
        <v>-1435.05</v>
      </c>
      <c r="Z230" s="6" t="n">
        <f aca="false">Y230/L230</f>
        <v>-0.0147150144519992</v>
      </c>
      <c r="AA230" s="3" t="n">
        <f aca="false">X230-P230</f>
        <v>-120.55</v>
      </c>
      <c r="AB230" s="6" t="n">
        <f aca="false">AA230/P230</f>
        <v>-0.295104039167687</v>
      </c>
    </row>
    <row r="231" customFormat="false" ht="12.75" hidden="false" customHeight="false" outlineLevel="0" collapsed="false">
      <c r="A231" s="0" t="s">
        <v>281</v>
      </c>
      <c r="B231" s="0" t="n">
        <v>4</v>
      </c>
      <c r="C231" s="0" t="s">
        <v>31</v>
      </c>
      <c r="D231" s="0" t="s">
        <v>31</v>
      </c>
      <c r="E231" s="0" t="n">
        <v>833</v>
      </c>
      <c r="F231" s="0" t="n">
        <v>2716</v>
      </c>
      <c r="G231" s="0" t="n">
        <v>5</v>
      </c>
      <c r="H231" s="0" t="n">
        <v>6</v>
      </c>
      <c r="I231" s="0" t="n">
        <v>6</v>
      </c>
      <c r="J231" s="0" t="n">
        <v>12</v>
      </c>
      <c r="K231" s="0" t="n">
        <v>0.7</v>
      </c>
      <c r="L231" s="1" t="n">
        <v>2716</v>
      </c>
      <c r="M231" s="0" t="n">
        <v>0</v>
      </c>
      <c r="N231" s="0" t="n">
        <v>2716</v>
      </c>
      <c r="O231" s="0" t="n">
        <v>43625</v>
      </c>
      <c r="P231" s="1" t="n">
        <v>5.64</v>
      </c>
      <c r="Q231" s="0" t="n">
        <v>0</v>
      </c>
      <c r="R231" s="0" t="n">
        <v>1</v>
      </c>
      <c r="S231" s="0" t="s">
        <v>42</v>
      </c>
      <c r="T231" s="0" t="str">
        <f aca="false">IF(L231="inf","False","True")</f>
        <v>True</v>
      </c>
      <c r="U231" s="0" t="str">
        <f aca="false">IF(V231="inf","False","True")</f>
        <v>True</v>
      </c>
      <c r="V231" s="4" t="n">
        <v>82894.25</v>
      </c>
      <c r="W231" s="4" t="n">
        <v>42048.27</v>
      </c>
      <c r="X231" s="0" t="n">
        <v>3.56</v>
      </c>
      <c r="Y231" s="5" t="n">
        <f aca="false">V231-L231</f>
        <v>80178.25</v>
      </c>
      <c r="Z231" s="6" t="n">
        <f aca="false">Y231/L231</f>
        <v>29.5207106038292</v>
      </c>
      <c r="AA231" s="3" t="n">
        <f aca="false">X231-P231</f>
        <v>-2.08</v>
      </c>
      <c r="AB231" s="6" t="n">
        <f aca="false">AA231/P231</f>
        <v>-0.368794326241135</v>
      </c>
    </row>
    <row r="232" customFormat="false" ht="12.75" hidden="false" customHeight="false" outlineLevel="0" collapsed="false">
      <c r="A232" s="0" t="s">
        <v>282</v>
      </c>
      <c r="B232" s="0" t="n">
        <v>0</v>
      </c>
      <c r="C232" s="0" t="s">
        <v>31</v>
      </c>
      <c r="D232" s="0" t="s">
        <v>31</v>
      </c>
      <c r="E232" s="0" t="n">
        <v>1166</v>
      </c>
      <c r="F232" s="0" t="n">
        <v>3693</v>
      </c>
      <c r="G232" s="0" t="n">
        <v>5</v>
      </c>
      <c r="H232" s="0" t="n">
        <v>6</v>
      </c>
      <c r="I232" s="0" t="n">
        <v>6</v>
      </c>
      <c r="J232" s="0" t="n">
        <v>12</v>
      </c>
      <c r="K232" s="0" t="n">
        <v>0.7</v>
      </c>
      <c r="L232" s="1" t="n">
        <v>3693</v>
      </c>
      <c r="M232" s="0" t="n">
        <v>0</v>
      </c>
      <c r="N232" s="0" t="n">
        <v>3693</v>
      </c>
      <c r="O232" s="0" t="n">
        <v>65983</v>
      </c>
      <c r="P232" s="1" t="n">
        <v>8.42</v>
      </c>
      <c r="Q232" s="0" t="n">
        <v>0</v>
      </c>
      <c r="R232" s="0" t="n">
        <v>2</v>
      </c>
      <c r="S232" s="0" t="s">
        <v>42</v>
      </c>
      <c r="T232" s="0" t="str">
        <f aca="false">IF(L232="inf","False","True")</f>
        <v>True</v>
      </c>
      <c r="U232" s="0" t="str">
        <f aca="false">IF(V232="inf","False","True")</f>
        <v>True</v>
      </c>
      <c r="V232" s="4" t="n">
        <v>58615.11</v>
      </c>
      <c r="W232" s="4" t="n">
        <v>65566.2</v>
      </c>
      <c r="X232" s="0" t="n">
        <v>106.45</v>
      </c>
      <c r="Y232" s="5" t="n">
        <f aca="false">V232-L232</f>
        <v>54922.11</v>
      </c>
      <c r="Z232" s="6" t="n">
        <f aca="false">Y232/L232</f>
        <v>14.8719496344435</v>
      </c>
      <c r="AA232" s="3" t="n">
        <f aca="false">X232-P232</f>
        <v>98.03</v>
      </c>
      <c r="AB232" s="6" t="n">
        <f aca="false">AA232/P232</f>
        <v>11.6425178147268</v>
      </c>
    </row>
    <row r="233" customFormat="false" ht="12.75" hidden="false" customHeight="false" outlineLevel="0" collapsed="false">
      <c r="A233" s="0" t="s">
        <v>283</v>
      </c>
      <c r="B233" s="0" t="n">
        <v>1</v>
      </c>
      <c r="C233" s="0" t="s">
        <v>31</v>
      </c>
      <c r="D233" s="0" t="s">
        <v>31</v>
      </c>
      <c r="E233" s="0" t="n">
        <v>1166</v>
      </c>
      <c r="F233" s="0" t="n">
        <v>3708</v>
      </c>
      <c r="G233" s="0" t="n">
        <v>5</v>
      </c>
      <c r="H233" s="0" t="n">
        <v>6</v>
      </c>
      <c r="I233" s="0" t="n">
        <v>6</v>
      </c>
      <c r="J233" s="0" t="n">
        <v>12</v>
      </c>
      <c r="K233" s="0" t="n">
        <v>0.7</v>
      </c>
      <c r="L233" s="1" t="n">
        <v>3708</v>
      </c>
      <c r="M233" s="0" t="n">
        <v>0</v>
      </c>
      <c r="N233" s="0" t="n">
        <v>3708</v>
      </c>
      <c r="O233" s="0" t="n">
        <v>65363</v>
      </c>
      <c r="P233" s="1" t="n">
        <v>5.95</v>
      </c>
      <c r="Q233" s="0" t="n">
        <v>0</v>
      </c>
      <c r="R233" s="0" t="n">
        <v>5</v>
      </c>
      <c r="S233" s="0" t="s">
        <v>42</v>
      </c>
      <c r="T233" s="0" t="str">
        <f aca="false">IF(L233="inf","False","True")</f>
        <v>True</v>
      </c>
      <c r="U233" s="0" t="str">
        <f aca="false">IF(V233="inf","False","True")</f>
        <v>True</v>
      </c>
      <c r="V233" s="4" t="n">
        <v>94389.41</v>
      </c>
      <c r="W233" s="4" t="n">
        <v>59546.33</v>
      </c>
      <c r="X233" s="0" t="n">
        <v>265.73</v>
      </c>
      <c r="Y233" s="5" t="n">
        <f aca="false">V233-L233</f>
        <v>90681.41</v>
      </c>
      <c r="Z233" s="6" t="n">
        <f aca="false">Y233/L233</f>
        <v>24.4556121898598</v>
      </c>
      <c r="AA233" s="3" t="n">
        <f aca="false">X233-P233</f>
        <v>259.78</v>
      </c>
      <c r="AB233" s="6" t="n">
        <f aca="false">AA233/P233</f>
        <v>43.6605042016807</v>
      </c>
    </row>
    <row r="234" customFormat="false" ht="12.75" hidden="false" customHeight="false" outlineLevel="0" collapsed="false">
      <c r="A234" s="0" t="s">
        <v>284</v>
      </c>
      <c r="B234" s="0" t="n">
        <v>2</v>
      </c>
      <c r="C234" s="0" t="s">
        <v>31</v>
      </c>
      <c r="D234" s="0" t="s">
        <v>31</v>
      </c>
      <c r="E234" s="0" t="n">
        <v>1166</v>
      </c>
      <c r="F234" s="0" t="n">
        <v>3655</v>
      </c>
      <c r="G234" s="0" t="n">
        <v>5</v>
      </c>
      <c r="H234" s="0" t="n">
        <v>6</v>
      </c>
      <c r="I234" s="0" t="n">
        <v>6</v>
      </c>
      <c r="J234" s="0" t="n">
        <v>12</v>
      </c>
      <c r="K234" s="0" t="n">
        <v>0.7</v>
      </c>
      <c r="L234" s="1" t="n">
        <v>3655</v>
      </c>
      <c r="M234" s="0" t="n">
        <v>0</v>
      </c>
      <c r="N234" s="0" t="n">
        <v>3655</v>
      </c>
      <c r="O234" s="0" t="n">
        <v>73223</v>
      </c>
      <c r="P234" s="1" t="n">
        <v>4.17</v>
      </c>
      <c r="Q234" s="0" t="n">
        <v>0</v>
      </c>
      <c r="R234" s="0" t="n">
        <v>1</v>
      </c>
      <c r="S234" s="0" t="s">
        <v>42</v>
      </c>
      <c r="T234" s="0" t="str">
        <f aca="false">IF(L234="inf","False","True")</f>
        <v>True</v>
      </c>
      <c r="U234" s="0" t="str">
        <f aca="false">IF(V234="inf","False","True")</f>
        <v>True</v>
      </c>
      <c r="V234" s="4" t="n">
        <v>300044.87</v>
      </c>
      <c r="W234" s="4" t="n">
        <v>65120.87</v>
      </c>
      <c r="X234" s="0" t="n">
        <v>12.44</v>
      </c>
      <c r="Y234" s="5" t="n">
        <f aca="false">V234-L234</f>
        <v>296389.87</v>
      </c>
      <c r="Z234" s="6" t="n">
        <f aca="false">Y234/L234</f>
        <v>81.0916196990424</v>
      </c>
      <c r="AA234" s="3" t="n">
        <f aca="false">X234-P234</f>
        <v>8.27</v>
      </c>
      <c r="AB234" s="6" t="n">
        <f aca="false">AA234/P234</f>
        <v>1.98321342925659</v>
      </c>
    </row>
    <row r="235" customFormat="false" ht="12.75" hidden="false" customHeight="false" outlineLevel="0" collapsed="false">
      <c r="A235" s="0" t="s">
        <v>285</v>
      </c>
      <c r="B235" s="0" t="n">
        <v>3</v>
      </c>
      <c r="C235" s="0" t="s">
        <v>31</v>
      </c>
      <c r="D235" s="0" t="s">
        <v>31</v>
      </c>
      <c r="E235" s="0" t="n">
        <v>1166</v>
      </c>
      <c r="F235" s="0" t="n">
        <v>3648</v>
      </c>
      <c r="G235" s="0" t="n">
        <v>5</v>
      </c>
      <c r="H235" s="0" t="n">
        <v>6</v>
      </c>
      <c r="I235" s="0" t="n">
        <v>6</v>
      </c>
      <c r="J235" s="0" t="n">
        <v>12</v>
      </c>
      <c r="K235" s="0" t="n">
        <v>0.7</v>
      </c>
      <c r="L235" s="1" t="n">
        <v>50657.76</v>
      </c>
      <c r="M235" s="0" t="n">
        <v>47056.77</v>
      </c>
      <c r="N235" s="0" t="n">
        <v>3600.99</v>
      </c>
      <c r="O235" s="0" t="n">
        <v>66598.06</v>
      </c>
      <c r="P235" s="1" t="n">
        <v>29.82</v>
      </c>
      <c r="Q235" s="0" t="n">
        <v>0</v>
      </c>
      <c r="R235" s="0" t="n">
        <v>2</v>
      </c>
      <c r="S235" s="0" t="s">
        <v>286</v>
      </c>
      <c r="T235" s="0" t="str">
        <f aca="false">IF(L235="inf","False","True")</f>
        <v>True</v>
      </c>
      <c r="U235" s="0" t="str">
        <f aca="false">IF(V235="inf","False","True")</f>
        <v>True</v>
      </c>
      <c r="V235" s="4" t="n">
        <v>209794.73</v>
      </c>
      <c r="W235" s="4" t="n">
        <v>58798.73</v>
      </c>
      <c r="X235" s="0" t="n">
        <v>4.03</v>
      </c>
      <c r="Y235" s="5" t="n">
        <f aca="false">V235-L235</f>
        <v>159136.97</v>
      </c>
      <c r="Z235" s="6" t="n">
        <f aca="false">Y235/L235</f>
        <v>3.14141347742182</v>
      </c>
      <c r="AA235" s="3" t="n">
        <f aca="false">X235-P235</f>
        <v>-25.79</v>
      </c>
      <c r="AB235" s="6" t="n">
        <f aca="false">AA235/P235</f>
        <v>-0.86485580147552</v>
      </c>
    </row>
    <row r="236" customFormat="false" ht="12.75" hidden="false" customHeight="false" outlineLevel="0" collapsed="false">
      <c r="A236" s="0" t="s">
        <v>287</v>
      </c>
      <c r="B236" s="0" t="n">
        <v>4</v>
      </c>
      <c r="C236" s="0" t="s">
        <v>31</v>
      </c>
      <c r="D236" s="0" t="s">
        <v>31</v>
      </c>
      <c r="E236" s="0" t="n">
        <v>1166</v>
      </c>
      <c r="F236" s="0" t="n">
        <v>3802</v>
      </c>
      <c r="G236" s="0" t="n">
        <v>5</v>
      </c>
      <c r="H236" s="0" t="n">
        <v>6</v>
      </c>
      <c r="I236" s="0" t="n">
        <v>6</v>
      </c>
      <c r="J236" s="0" t="n">
        <v>12</v>
      </c>
      <c r="K236" s="0" t="n">
        <v>0.7</v>
      </c>
      <c r="L236" s="1" t="n">
        <v>3802</v>
      </c>
      <c r="M236" s="0" t="n">
        <v>0</v>
      </c>
      <c r="N236" s="0" t="n">
        <v>3802</v>
      </c>
      <c r="O236" s="0" t="n">
        <v>61097</v>
      </c>
      <c r="P236" s="1" t="n">
        <v>6.42</v>
      </c>
      <c r="Q236" s="0" t="n">
        <v>0</v>
      </c>
      <c r="R236" s="0" t="n">
        <v>6</v>
      </c>
      <c r="S236" s="0" t="s">
        <v>42</v>
      </c>
      <c r="T236" s="0" t="str">
        <f aca="false">IF(L236="inf","False","True")</f>
        <v>True</v>
      </c>
      <c r="U236" s="0" t="str">
        <f aca="false">IF(V236="inf","False","True")</f>
        <v>True</v>
      </c>
      <c r="V236" s="4" t="n">
        <v>112219.23</v>
      </c>
      <c r="W236" s="4" t="n">
        <v>55373.75</v>
      </c>
      <c r="X236" s="0" t="n">
        <v>261.04</v>
      </c>
      <c r="Y236" s="5" t="n">
        <f aca="false">V236-L236</f>
        <v>108417.23</v>
      </c>
      <c r="Z236" s="6" t="n">
        <f aca="false">Y236/L236</f>
        <v>28.515841662283</v>
      </c>
      <c r="AA236" s="3" t="n">
        <f aca="false">X236-P236</f>
        <v>254.62</v>
      </c>
      <c r="AB236" s="6" t="n">
        <f aca="false">AA236/P236</f>
        <v>39.6604361370717</v>
      </c>
    </row>
    <row r="237" customFormat="false" ht="12.75" hidden="false" customHeight="false" outlineLevel="0" collapsed="false">
      <c r="A237" s="0" t="s">
        <v>288</v>
      </c>
      <c r="B237" s="0" t="n">
        <v>0</v>
      </c>
      <c r="C237" s="0" t="s">
        <v>31</v>
      </c>
      <c r="D237" s="0" t="s">
        <v>31</v>
      </c>
      <c r="E237" s="0" t="n">
        <v>1666</v>
      </c>
      <c r="F237" s="0" t="n">
        <v>5280</v>
      </c>
      <c r="G237" s="0" t="n">
        <v>5</v>
      </c>
      <c r="H237" s="0" t="n">
        <v>6</v>
      </c>
      <c r="I237" s="0" t="n">
        <v>6</v>
      </c>
      <c r="J237" s="0" t="n">
        <v>12</v>
      </c>
      <c r="K237" s="0" t="n">
        <v>0.7</v>
      </c>
      <c r="L237" s="1" t="n">
        <v>5280</v>
      </c>
      <c r="M237" s="0" t="n">
        <v>0</v>
      </c>
      <c r="N237" s="0" t="n">
        <v>5280</v>
      </c>
      <c r="O237" s="0" t="n">
        <v>98218</v>
      </c>
      <c r="P237" s="1" t="n">
        <v>8</v>
      </c>
      <c r="Q237" s="0" t="n">
        <v>0</v>
      </c>
      <c r="R237" s="0" t="n">
        <v>7</v>
      </c>
      <c r="S237" s="0" t="s">
        <v>42</v>
      </c>
      <c r="T237" s="0" t="str">
        <f aca="false">IF(L237="inf","False","True")</f>
        <v>True</v>
      </c>
      <c r="U237" s="0" t="str">
        <f aca="false">IF(V237="inf","False","True")</f>
        <v>True</v>
      </c>
      <c r="V237" s="4" t="n">
        <v>203283.42</v>
      </c>
      <c r="W237" s="4" t="n">
        <v>93980.34</v>
      </c>
      <c r="X237" s="0" t="n">
        <v>418.46</v>
      </c>
      <c r="Y237" s="5" t="n">
        <f aca="false">V237-L237</f>
        <v>198003.42</v>
      </c>
      <c r="Z237" s="6" t="n">
        <f aca="false">Y237/L237</f>
        <v>37.5006477272727</v>
      </c>
      <c r="AA237" s="3" t="n">
        <f aca="false">X237-P237</f>
        <v>410.46</v>
      </c>
      <c r="AB237" s="6" t="n">
        <f aca="false">AA237/P237</f>
        <v>51.3075</v>
      </c>
    </row>
    <row r="238" customFormat="false" ht="12.75" hidden="false" customHeight="false" outlineLevel="0" collapsed="false">
      <c r="A238" s="0" t="s">
        <v>289</v>
      </c>
      <c r="B238" s="0" t="n">
        <v>1</v>
      </c>
      <c r="C238" s="0" t="s">
        <v>31</v>
      </c>
      <c r="D238" s="0" t="s">
        <v>31</v>
      </c>
      <c r="E238" s="0" t="n">
        <v>1666</v>
      </c>
      <c r="F238" s="0" t="n">
        <v>5301</v>
      </c>
      <c r="G238" s="0" t="n">
        <v>5</v>
      </c>
      <c r="H238" s="0" t="n">
        <v>6</v>
      </c>
      <c r="I238" s="0" t="n">
        <v>6</v>
      </c>
      <c r="J238" s="0" t="n">
        <v>12</v>
      </c>
      <c r="K238" s="0" t="n">
        <v>0.7</v>
      </c>
      <c r="L238" s="1" t="n">
        <v>5301</v>
      </c>
      <c r="M238" s="0" t="n">
        <v>0</v>
      </c>
      <c r="N238" s="0" t="n">
        <v>5301</v>
      </c>
      <c r="O238" s="0" t="n">
        <v>92768</v>
      </c>
      <c r="P238" s="1" t="n">
        <v>5.27</v>
      </c>
      <c r="Q238" s="0" t="n">
        <v>0</v>
      </c>
      <c r="R238" s="0" t="n">
        <v>1</v>
      </c>
      <c r="S238" s="0" t="s">
        <v>42</v>
      </c>
      <c r="T238" s="0" t="str">
        <f aca="false">IF(L238="inf","False","True")</f>
        <v>True</v>
      </c>
      <c r="U238" s="0" t="str">
        <f aca="false">IF(V238="inf","False","True")</f>
        <v>True</v>
      </c>
      <c r="V238" s="4" t="n">
        <v>156904.76</v>
      </c>
      <c r="W238" s="4" t="n">
        <v>85904.33</v>
      </c>
      <c r="X238" s="0" t="n">
        <v>235.36</v>
      </c>
      <c r="Y238" s="5" t="n">
        <f aca="false">V238-L238</f>
        <v>151603.76</v>
      </c>
      <c r="Z238" s="6" t="n">
        <f aca="false">Y238/L238</f>
        <v>28.5990869647236</v>
      </c>
      <c r="AA238" s="3" t="n">
        <f aca="false">X238-P238</f>
        <v>230.09</v>
      </c>
      <c r="AB238" s="6" t="n">
        <f aca="false">AA238/P238</f>
        <v>43.6603415559772</v>
      </c>
    </row>
    <row r="239" customFormat="false" ht="12.75" hidden="false" customHeight="false" outlineLevel="0" collapsed="false">
      <c r="A239" s="0" t="s">
        <v>290</v>
      </c>
      <c r="B239" s="0" t="n">
        <v>2</v>
      </c>
      <c r="C239" s="0" t="s">
        <v>31</v>
      </c>
      <c r="D239" s="0" t="s">
        <v>31</v>
      </c>
      <c r="E239" s="0" t="n">
        <v>1666</v>
      </c>
      <c r="F239" s="0" t="n">
        <v>5225</v>
      </c>
      <c r="G239" s="0" t="n">
        <v>5</v>
      </c>
      <c r="H239" s="0" t="n">
        <v>6</v>
      </c>
      <c r="I239" s="0" t="n">
        <v>6</v>
      </c>
      <c r="J239" s="0" t="n">
        <v>12</v>
      </c>
      <c r="K239" s="0" t="n">
        <v>0.7</v>
      </c>
      <c r="L239" s="1" t="n">
        <v>5225</v>
      </c>
      <c r="M239" s="0" t="n">
        <v>0</v>
      </c>
      <c r="N239" s="0" t="n">
        <v>5225</v>
      </c>
      <c r="O239" s="0" t="n">
        <v>104529</v>
      </c>
      <c r="P239" s="1" t="n">
        <v>4.31</v>
      </c>
      <c r="Q239" s="0" t="n">
        <v>0</v>
      </c>
      <c r="R239" s="0" t="n">
        <v>1</v>
      </c>
      <c r="S239" s="0" t="s">
        <v>42</v>
      </c>
      <c r="T239" s="0" t="str">
        <f aca="false">IF(L239="inf","False","True")</f>
        <v>True</v>
      </c>
      <c r="U239" s="0" t="str">
        <f aca="false">IF(V239="inf","False","True")</f>
        <v>True</v>
      </c>
      <c r="V239" s="4" t="n">
        <v>339873</v>
      </c>
      <c r="W239" s="4" t="n">
        <v>89675.7</v>
      </c>
      <c r="X239" s="0" t="n">
        <v>13.34</v>
      </c>
      <c r="Y239" s="5" t="n">
        <f aca="false">V239-L239</f>
        <v>334648</v>
      </c>
      <c r="Z239" s="6" t="n">
        <f aca="false">Y239/L239</f>
        <v>64.0474641148325</v>
      </c>
      <c r="AA239" s="3" t="n">
        <f aca="false">X239-P239</f>
        <v>9.03</v>
      </c>
      <c r="AB239" s="6" t="n">
        <f aca="false">AA239/P239</f>
        <v>2.09512761020882</v>
      </c>
    </row>
    <row r="240" customFormat="false" ht="12.75" hidden="false" customHeight="false" outlineLevel="0" collapsed="false">
      <c r="A240" s="0" t="s">
        <v>291</v>
      </c>
      <c r="B240" s="0" t="n">
        <v>3</v>
      </c>
      <c r="C240" s="0" t="s">
        <v>31</v>
      </c>
      <c r="D240" s="0" t="s">
        <v>31</v>
      </c>
      <c r="E240" s="0" t="n">
        <v>1666</v>
      </c>
      <c r="F240" s="0" t="n">
        <v>5214</v>
      </c>
      <c r="G240" s="0" t="n">
        <v>5</v>
      </c>
      <c r="H240" s="0" t="n">
        <v>6</v>
      </c>
      <c r="I240" s="0" t="n">
        <v>6</v>
      </c>
      <c r="J240" s="0" t="n">
        <v>12</v>
      </c>
      <c r="K240" s="0" t="n">
        <v>0.7</v>
      </c>
      <c r="L240" s="1" t="n">
        <v>62107.24</v>
      </c>
      <c r="M240" s="0" t="n">
        <v>56924.89</v>
      </c>
      <c r="N240" s="0" t="n">
        <v>5182.35</v>
      </c>
      <c r="O240" s="0" t="n">
        <v>93761.44</v>
      </c>
      <c r="P240" s="1" t="n">
        <v>128.69</v>
      </c>
      <c r="Q240" s="0" t="n">
        <v>0</v>
      </c>
      <c r="R240" s="0" t="n">
        <v>13</v>
      </c>
      <c r="S240" s="0" t="s">
        <v>292</v>
      </c>
      <c r="T240" s="0" t="str">
        <f aca="false">IF(L240="inf","False","True")</f>
        <v>True</v>
      </c>
      <c r="U240" s="0" t="str">
        <f aca="false">IF(V240="inf","False","True")</f>
        <v>True</v>
      </c>
      <c r="V240" s="4" t="n">
        <v>262106.55</v>
      </c>
      <c r="W240" s="4" t="n">
        <v>85092.23</v>
      </c>
      <c r="X240" s="0" t="n">
        <v>271.51</v>
      </c>
      <c r="Y240" s="5" t="n">
        <f aca="false">V240-L240</f>
        <v>199999.31</v>
      </c>
      <c r="Z240" s="6" t="n">
        <f aca="false">Y240/L240</f>
        <v>3.22022537147038</v>
      </c>
      <c r="AA240" s="3" t="n">
        <f aca="false">X240-P240</f>
        <v>142.82</v>
      </c>
      <c r="AB240" s="6" t="n">
        <f aca="false">AA240/P240</f>
        <v>1.10979874116093</v>
      </c>
    </row>
    <row r="241" customFormat="false" ht="12.75" hidden="false" customHeight="false" outlineLevel="0" collapsed="false">
      <c r="A241" s="0" t="s">
        <v>293</v>
      </c>
      <c r="B241" s="0" t="n">
        <v>4</v>
      </c>
      <c r="C241" s="0" t="s">
        <v>31</v>
      </c>
      <c r="D241" s="0" t="s">
        <v>31</v>
      </c>
      <c r="E241" s="0" t="n">
        <v>1666</v>
      </c>
      <c r="F241" s="0" t="n">
        <v>5436</v>
      </c>
      <c r="G241" s="0" t="n">
        <v>5</v>
      </c>
      <c r="H241" s="0" t="n">
        <v>6</v>
      </c>
      <c r="I241" s="0" t="n">
        <v>6</v>
      </c>
      <c r="J241" s="0" t="n">
        <v>12</v>
      </c>
      <c r="K241" s="0" t="n">
        <v>0.7</v>
      </c>
      <c r="L241" s="1" t="n">
        <v>5436</v>
      </c>
      <c r="M241" s="0" t="n">
        <v>0</v>
      </c>
      <c r="N241" s="0" t="n">
        <v>5436</v>
      </c>
      <c r="O241" s="0" t="n">
        <v>87223</v>
      </c>
      <c r="P241" s="1" t="n">
        <v>6.96</v>
      </c>
      <c r="Q241" s="0" t="n">
        <v>0</v>
      </c>
      <c r="R241" s="0" t="n">
        <v>7</v>
      </c>
      <c r="S241" s="0" t="s">
        <v>42</v>
      </c>
      <c r="T241" s="0" t="str">
        <f aca="false">IF(L241="inf","False","True")</f>
        <v>True</v>
      </c>
      <c r="U241" s="0" t="str">
        <f aca="false">IF(V241="inf","False","True")</f>
        <v>True</v>
      </c>
      <c r="V241" s="4" t="n">
        <v>152988.74</v>
      </c>
      <c r="W241" s="4" t="n">
        <v>79025.38</v>
      </c>
      <c r="X241" s="0" t="n">
        <v>196.55</v>
      </c>
      <c r="Y241" s="5" t="n">
        <f aca="false">V241-L241</f>
        <v>147552.74</v>
      </c>
      <c r="Z241" s="6" t="n">
        <f aca="false">Y241/L241</f>
        <v>27.1436239882266</v>
      </c>
      <c r="AA241" s="3" t="n">
        <f aca="false">X241-P241</f>
        <v>189.59</v>
      </c>
      <c r="AB241" s="6" t="n">
        <f aca="false">AA241/P241</f>
        <v>27.2399425287356</v>
      </c>
    </row>
    <row r="242" customFormat="false" ht="12.75" hidden="false" customHeight="false" outlineLevel="0" collapsed="false">
      <c r="A242" s="0" t="s">
        <v>294</v>
      </c>
      <c r="B242" s="0" t="n">
        <v>0</v>
      </c>
      <c r="C242" s="0" t="s">
        <v>31</v>
      </c>
      <c r="D242" s="0" t="s">
        <v>31</v>
      </c>
      <c r="E242" s="0" t="n">
        <v>500</v>
      </c>
      <c r="F242" s="0" t="n">
        <v>624</v>
      </c>
      <c r="G242" s="0" t="n">
        <v>10</v>
      </c>
      <c r="H242" s="0" t="n">
        <v>6</v>
      </c>
      <c r="I242" s="0" t="n">
        <v>6</v>
      </c>
      <c r="J242" s="0" t="n">
        <v>4</v>
      </c>
      <c r="K242" s="0" t="n">
        <v>0.7</v>
      </c>
      <c r="L242" s="1" t="n">
        <v>66744.04</v>
      </c>
      <c r="M242" s="0" t="n">
        <v>66145.11</v>
      </c>
      <c r="N242" s="0" t="n">
        <v>598.93</v>
      </c>
      <c r="O242" s="0" t="n">
        <v>57528.76</v>
      </c>
      <c r="P242" s="1" t="n">
        <v>38.04</v>
      </c>
      <c r="Q242" s="0" t="n">
        <v>0</v>
      </c>
      <c r="R242" s="0" t="n">
        <v>12</v>
      </c>
      <c r="S242" s="0" t="s">
        <v>32</v>
      </c>
      <c r="T242" s="0" t="str">
        <f aca="false">IF(L242="inf","False","True")</f>
        <v>True</v>
      </c>
      <c r="U242" s="0" t="str">
        <f aca="false">IF(V242="inf","False","True")</f>
        <v>False</v>
      </c>
      <c r="V242" s="4" t="s">
        <v>37</v>
      </c>
      <c r="W242" s="4" t="s">
        <v>37</v>
      </c>
      <c r="X242" s="0" t="n">
        <v>12.59</v>
      </c>
      <c r="Y242" s="5" t="e">
        <f aca="false">V242-L242</f>
        <v>#VALUE!</v>
      </c>
      <c r="Z242" s="6" t="e">
        <f aca="false">Y242/L242</f>
        <v>#VALUE!</v>
      </c>
      <c r="AA242" s="3" t="n">
        <f aca="false">X242-P242</f>
        <v>-25.45</v>
      </c>
      <c r="AB242" s="6" t="n">
        <f aca="false">AA242/P242</f>
        <v>-0.669032597266036</v>
      </c>
    </row>
    <row r="243" customFormat="false" ht="12.75" hidden="false" customHeight="false" outlineLevel="0" collapsed="false">
      <c r="A243" s="0" t="s">
        <v>295</v>
      </c>
      <c r="B243" s="0" t="n">
        <v>1</v>
      </c>
      <c r="C243" s="0" t="s">
        <v>31</v>
      </c>
      <c r="D243" s="0" t="s">
        <v>31</v>
      </c>
      <c r="E243" s="0" t="n">
        <v>500</v>
      </c>
      <c r="F243" s="0" t="n">
        <v>676</v>
      </c>
      <c r="G243" s="0" t="n">
        <v>10</v>
      </c>
      <c r="H243" s="0" t="n">
        <v>6</v>
      </c>
      <c r="I243" s="0" t="n">
        <v>6</v>
      </c>
      <c r="J243" s="0" t="n">
        <v>4</v>
      </c>
      <c r="K243" s="0" t="n">
        <v>0.7</v>
      </c>
      <c r="L243" s="1" t="n">
        <v>210161.24</v>
      </c>
      <c r="M243" s="0" t="n">
        <v>209504.05</v>
      </c>
      <c r="N243" s="0" t="n">
        <v>657.19</v>
      </c>
      <c r="O243" s="0" t="n">
        <v>55328.26</v>
      </c>
      <c r="P243" s="1" t="n">
        <v>13.69</v>
      </c>
      <c r="Q243" s="0" t="n">
        <v>0</v>
      </c>
      <c r="R243" s="0" t="n">
        <v>5</v>
      </c>
      <c r="S243" s="0" t="s">
        <v>32</v>
      </c>
      <c r="T243" s="0" t="str">
        <f aca="false">IF(L243="inf","False","True")</f>
        <v>True</v>
      </c>
      <c r="U243" s="0" t="str">
        <f aca="false">IF(V243="inf","False","True")</f>
        <v>False</v>
      </c>
      <c r="V243" s="4" t="s">
        <v>37</v>
      </c>
      <c r="W243" s="4" t="s">
        <v>37</v>
      </c>
      <c r="X243" s="0" t="n">
        <v>12.94</v>
      </c>
      <c r="Y243" s="5" t="e">
        <f aca="false">V243-L243</f>
        <v>#VALUE!</v>
      </c>
      <c r="Z243" s="6" t="e">
        <f aca="false">Y243/L243</f>
        <v>#VALUE!</v>
      </c>
      <c r="AA243" s="3" t="n">
        <f aca="false">X243-P243</f>
        <v>-0.75</v>
      </c>
      <c r="AB243" s="6" t="n">
        <f aca="false">AA243/P243</f>
        <v>-0.0547845142439737</v>
      </c>
    </row>
    <row r="244" customFormat="false" ht="12.75" hidden="false" customHeight="false" outlineLevel="0" collapsed="false">
      <c r="A244" s="0" t="s">
        <v>296</v>
      </c>
      <c r="B244" s="0" t="n">
        <v>2</v>
      </c>
      <c r="C244" s="0" t="s">
        <v>31</v>
      </c>
      <c r="D244" s="0" t="s">
        <v>31</v>
      </c>
      <c r="E244" s="0" t="n">
        <v>500</v>
      </c>
      <c r="F244" s="0" t="n">
        <v>666</v>
      </c>
      <c r="G244" s="0" t="n">
        <v>10</v>
      </c>
      <c r="H244" s="0" t="n">
        <v>6</v>
      </c>
      <c r="I244" s="0" t="n">
        <v>6</v>
      </c>
      <c r="J244" s="0" t="n">
        <v>4</v>
      </c>
      <c r="K244" s="0" t="n">
        <v>0.7</v>
      </c>
      <c r="L244" s="1" t="n">
        <v>186320.96</v>
      </c>
      <c r="M244" s="0" t="n">
        <v>185686.64</v>
      </c>
      <c r="N244" s="0" t="n">
        <v>634.32</v>
      </c>
      <c r="O244" s="0" t="n">
        <v>60244.84</v>
      </c>
      <c r="P244" s="1" t="n">
        <v>6.07</v>
      </c>
      <c r="Q244" s="0" t="n">
        <v>0</v>
      </c>
      <c r="R244" s="0" t="n">
        <v>4</v>
      </c>
      <c r="S244" s="0" t="s">
        <v>32</v>
      </c>
      <c r="T244" s="0" t="str">
        <f aca="false">IF(L244="inf","False","True")</f>
        <v>True</v>
      </c>
      <c r="U244" s="0" t="str">
        <f aca="false">IF(V244="inf","False","True")</f>
        <v>False</v>
      </c>
      <c r="V244" s="4" t="s">
        <v>37</v>
      </c>
      <c r="W244" s="4" t="s">
        <v>37</v>
      </c>
      <c r="X244" s="0" t="n">
        <v>10.61</v>
      </c>
      <c r="Y244" s="5" t="e">
        <f aca="false">V244-L244</f>
        <v>#VALUE!</v>
      </c>
      <c r="Z244" s="6" t="e">
        <f aca="false">Y244/L244</f>
        <v>#VALUE!</v>
      </c>
      <c r="AA244" s="3" t="n">
        <f aca="false">X244-P244</f>
        <v>4.54</v>
      </c>
      <c r="AB244" s="6" t="n">
        <f aca="false">AA244/P244</f>
        <v>0.747940691927512</v>
      </c>
    </row>
    <row r="245" customFormat="false" ht="12.75" hidden="false" customHeight="false" outlineLevel="0" collapsed="false">
      <c r="A245" s="0" t="s">
        <v>297</v>
      </c>
      <c r="B245" s="0" t="n">
        <v>3</v>
      </c>
      <c r="C245" s="0" t="s">
        <v>31</v>
      </c>
      <c r="D245" s="0" t="s">
        <v>31</v>
      </c>
      <c r="E245" s="0" t="n">
        <v>500</v>
      </c>
      <c r="F245" s="0" t="n">
        <v>637</v>
      </c>
      <c r="G245" s="0" t="n">
        <v>10</v>
      </c>
      <c r="H245" s="0" t="n">
        <v>6</v>
      </c>
      <c r="I245" s="0" t="n">
        <v>6</v>
      </c>
      <c r="J245" s="0" t="n">
        <v>4</v>
      </c>
      <c r="K245" s="0" t="n">
        <v>0.7</v>
      </c>
      <c r="L245" s="1" t="n">
        <v>73444.17</v>
      </c>
      <c r="M245" s="0" t="n">
        <v>72814</v>
      </c>
      <c r="N245" s="0" t="n">
        <v>630.17</v>
      </c>
      <c r="O245" s="0" t="n">
        <v>59088.98</v>
      </c>
      <c r="P245" s="1" t="n">
        <v>18.16</v>
      </c>
      <c r="Q245" s="0" t="n">
        <v>0</v>
      </c>
      <c r="R245" s="0" t="n">
        <v>7</v>
      </c>
      <c r="S245" s="0" t="s">
        <v>32</v>
      </c>
      <c r="T245" s="0" t="str">
        <f aca="false">IF(L245="inf","False","True")</f>
        <v>True</v>
      </c>
      <c r="U245" s="0" t="str">
        <f aca="false">IF(V245="inf","False","True")</f>
        <v>False</v>
      </c>
      <c r="V245" s="4" t="s">
        <v>37</v>
      </c>
      <c r="W245" s="4" t="s">
        <v>37</v>
      </c>
      <c r="X245" s="0" t="n">
        <v>10.78</v>
      </c>
      <c r="Y245" s="5" t="e">
        <f aca="false">V245-L245</f>
        <v>#VALUE!</v>
      </c>
      <c r="Z245" s="6" t="e">
        <f aca="false">Y245/L245</f>
        <v>#VALUE!</v>
      </c>
      <c r="AA245" s="3" t="n">
        <f aca="false">X245-P245</f>
        <v>-7.38</v>
      </c>
      <c r="AB245" s="6" t="n">
        <f aca="false">AA245/P245</f>
        <v>-0.406387665198238</v>
      </c>
    </row>
    <row r="246" customFormat="false" ht="12.75" hidden="false" customHeight="false" outlineLevel="0" collapsed="false">
      <c r="A246" s="0" t="s">
        <v>298</v>
      </c>
      <c r="B246" s="0" t="n">
        <v>4</v>
      </c>
      <c r="C246" s="0" t="s">
        <v>31</v>
      </c>
      <c r="D246" s="0" t="s">
        <v>31</v>
      </c>
      <c r="E246" s="0" t="n">
        <v>500</v>
      </c>
      <c r="F246" s="0" t="n">
        <v>685</v>
      </c>
      <c r="G246" s="0" t="n">
        <v>10</v>
      </c>
      <c r="H246" s="0" t="n">
        <v>6</v>
      </c>
      <c r="I246" s="0" t="n">
        <v>6</v>
      </c>
      <c r="J246" s="0" t="n">
        <v>4</v>
      </c>
      <c r="K246" s="0" t="n">
        <v>0.7</v>
      </c>
      <c r="L246" s="1" t="n">
        <v>155765.24</v>
      </c>
      <c r="M246" s="0" t="n">
        <v>155097.58</v>
      </c>
      <c r="N246" s="0" t="n">
        <v>667.66</v>
      </c>
      <c r="O246" s="0" t="n">
        <v>56860.3</v>
      </c>
      <c r="P246" s="1" t="n">
        <v>16.18</v>
      </c>
      <c r="Q246" s="0" t="n">
        <v>0</v>
      </c>
      <c r="R246" s="0" t="n">
        <v>3</v>
      </c>
      <c r="S246" s="0" t="s">
        <v>32</v>
      </c>
      <c r="T246" s="0" t="str">
        <f aca="false">IF(L246="inf","False","True")</f>
        <v>True</v>
      </c>
      <c r="U246" s="0" t="str">
        <f aca="false">IF(V246="inf","False","True")</f>
        <v>False</v>
      </c>
      <c r="V246" s="4" t="s">
        <v>37</v>
      </c>
      <c r="W246" s="4" t="s">
        <v>37</v>
      </c>
      <c r="X246" s="0" t="n">
        <v>12.52</v>
      </c>
      <c r="Y246" s="5" t="e">
        <f aca="false">V246-L246</f>
        <v>#VALUE!</v>
      </c>
      <c r="Z246" s="6" t="e">
        <f aca="false">Y246/L246</f>
        <v>#VALUE!</v>
      </c>
      <c r="AA246" s="3" t="n">
        <f aca="false">X246-P246</f>
        <v>-3.66</v>
      </c>
      <c r="AB246" s="6" t="n">
        <f aca="false">AA246/P246</f>
        <v>-0.226205191594561</v>
      </c>
    </row>
    <row r="247" customFormat="false" ht="12.75" hidden="false" customHeight="false" outlineLevel="0" collapsed="false">
      <c r="A247" s="0" t="s">
        <v>299</v>
      </c>
      <c r="B247" s="0" t="n">
        <v>0</v>
      </c>
      <c r="C247" s="0" t="s">
        <v>31</v>
      </c>
      <c r="D247" s="0" t="s">
        <v>31</v>
      </c>
      <c r="E247" s="0" t="n">
        <v>833</v>
      </c>
      <c r="F247" s="0" t="n">
        <v>1041</v>
      </c>
      <c r="G247" s="0" t="n">
        <v>10</v>
      </c>
      <c r="H247" s="0" t="n">
        <v>6</v>
      </c>
      <c r="I247" s="0" t="n">
        <v>6</v>
      </c>
      <c r="J247" s="0" t="n">
        <v>4</v>
      </c>
      <c r="K247" s="0" t="n">
        <v>0.7</v>
      </c>
      <c r="L247" s="1" t="n">
        <v>89852.28</v>
      </c>
      <c r="M247" s="0" t="n">
        <v>88817.61</v>
      </c>
      <c r="N247" s="0" t="n">
        <v>1034.67</v>
      </c>
      <c r="O247" s="0" t="n">
        <v>95366.88</v>
      </c>
      <c r="P247" s="1" t="n">
        <v>24.47</v>
      </c>
      <c r="Q247" s="0" t="n">
        <v>0</v>
      </c>
      <c r="R247" s="0" t="n">
        <v>6</v>
      </c>
      <c r="S247" s="0" t="s">
        <v>32</v>
      </c>
      <c r="T247" s="0" t="str">
        <f aca="false">IF(L247="inf","False","True")</f>
        <v>True</v>
      </c>
      <c r="U247" s="0" t="str">
        <f aca="false">IF(V247="inf","False","True")</f>
        <v>True</v>
      </c>
      <c r="V247" s="4" t="n">
        <v>194635.65</v>
      </c>
      <c r="W247" s="4" t="n">
        <v>99043.16</v>
      </c>
      <c r="X247" s="0" t="n">
        <v>1.24</v>
      </c>
      <c r="Y247" s="5" t="n">
        <f aca="false">V247-L247</f>
        <v>104783.37</v>
      </c>
      <c r="Z247" s="6" t="n">
        <f aca="false">Y247/L247</f>
        <v>1.16617374650927</v>
      </c>
      <c r="AA247" s="3" t="n">
        <f aca="false">X247-P247</f>
        <v>-23.23</v>
      </c>
      <c r="AB247" s="6" t="n">
        <f aca="false">AA247/P247</f>
        <v>-0.949325704944831</v>
      </c>
    </row>
    <row r="248" customFormat="false" ht="12.75" hidden="false" customHeight="false" outlineLevel="0" collapsed="false">
      <c r="A248" s="0" t="s">
        <v>300</v>
      </c>
      <c r="B248" s="0" t="n">
        <v>1</v>
      </c>
      <c r="C248" s="0" t="s">
        <v>31</v>
      </c>
      <c r="D248" s="0" t="s">
        <v>31</v>
      </c>
      <c r="E248" s="0" t="n">
        <v>833</v>
      </c>
      <c r="F248" s="0" t="n">
        <v>1126</v>
      </c>
      <c r="G248" s="0" t="n">
        <v>10</v>
      </c>
      <c r="H248" s="0" t="n">
        <v>6</v>
      </c>
      <c r="I248" s="0" t="n">
        <v>6</v>
      </c>
      <c r="J248" s="0" t="n">
        <v>4</v>
      </c>
      <c r="K248" s="0" t="n">
        <v>0.7</v>
      </c>
      <c r="L248" s="1" t="n">
        <v>348424.29</v>
      </c>
      <c r="M248" s="0" t="n">
        <v>347345.57</v>
      </c>
      <c r="N248" s="0" t="n">
        <v>1078.72</v>
      </c>
      <c r="O248" s="0" t="n">
        <v>92270.26</v>
      </c>
      <c r="P248" s="1" t="n">
        <v>16.59</v>
      </c>
      <c r="Q248" s="0" t="n">
        <v>0</v>
      </c>
      <c r="R248" s="0" t="n">
        <v>6</v>
      </c>
      <c r="S248" s="0" t="s">
        <v>32</v>
      </c>
      <c r="T248" s="0" t="str">
        <f aca="false">IF(L248="inf","False","True")</f>
        <v>True</v>
      </c>
      <c r="U248" s="0" t="str">
        <f aca="false">IF(V248="inf","False","True")</f>
        <v>False</v>
      </c>
      <c r="V248" s="4" t="s">
        <v>37</v>
      </c>
      <c r="W248" s="4" t="s">
        <v>37</v>
      </c>
      <c r="X248" s="0" t="n">
        <v>11.5</v>
      </c>
      <c r="Y248" s="5" t="e">
        <f aca="false">V248-L248</f>
        <v>#VALUE!</v>
      </c>
      <c r="Z248" s="6" t="e">
        <f aca="false">Y248/L248</f>
        <v>#VALUE!</v>
      </c>
      <c r="AA248" s="3" t="n">
        <f aca="false">X248-P248</f>
        <v>-5.09</v>
      </c>
      <c r="AB248" s="6" t="n">
        <f aca="false">AA248/P248</f>
        <v>-0.306811332127788</v>
      </c>
    </row>
    <row r="249" customFormat="false" ht="12.75" hidden="false" customHeight="false" outlineLevel="0" collapsed="false">
      <c r="A249" s="0" t="s">
        <v>301</v>
      </c>
      <c r="B249" s="0" t="n">
        <v>2</v>
      </c>
      <c r="C249" s="0" t="s">
        <v>31</v>
      </c>
      <c r="D249" s="0" t="s">
        <v>31</v>
      </c>
      <c r="E249" s="0" t="n">
        <v>833</v>
      </c>
      <c r="F249" s="0" t="n">
        <v>1108</v>
      </c>
      <c r="G249" s="0" t="n">
        <v>10</v>
      </c>
      <c r="H249" s="0" t="n">
        <v>6</v>
      </c>
      <c r="I249" s="0" t="n">
        <v>6</v>
      </c>
      <c r="J249" s="0" t="n">
        <v>4</v>
      </c>
      <c r="K249" s="0" t="n">
        <v>0.7</v>
      </c>
      <c r="L249" s="1" t="n">
        <v>325976.19</v>
      </c>
      <c r="M249" s="0" t="n">
        <v>324908.55</v>
      </c>
      <c r="N249" s="0" t="n">
        <v>1067.65</v>
      </c>
      <c r="O249" s="0" t="n">
        <v>100531.31</v>
      </c>
      <c r="P249" s="1" t="n">
        <v>7.39</v>
      </c>
      <c r="Q249" s="0" t="n">
        <v>0</v>
      </c>
      <c r="R249" s="0" t="n">
        <v>2</v>
      </c>
      <c r="S249" s="0" t="s">
        <v>32</v>
      </c>
      <c r="T249" s="0" t="str">
        <f aca="false">IF(L249="inf","False","True")</f>
        <v>True</v>
      </c>
      <c r="U249" s="0" t="str">
        <f aca="false">IF(V249="inf","False","True")</f>
        <v>False</v>
      </c>
      <c r="V249" s="4" t="s">
        <v>37</v>
      </c>
      <c r="W249" s="4" t="s">
        <v>37</v>
      </c>
      <c r="X249" s="0" t="n">
        <v>10.4</v>
      </c>
      <c r="Y249" s="5" t="e">
        <f aca="false">V249-L249</f>
        <v>#VALUE!</v>
      </c>
      <c r="Z249" s="6" t="e">
        <f aca="false">Y249/L249</f>
        <v>#VALUE!</v>
      </c>
      <c r="AA249" s="3" t="n">
        <f aca="false">X249-P249</f>
        <v>3.01</v>
      </c>
      <c r="AB249" s="6" t="n">
        <f aca="false">AA249/P249</f>
        <v>0.407307171853857</v>
      </c>
    </row>
    <row r="250" customFormat="false" ht="12.75" hidden="false" customHeight="false" outlineLevel="0" collapsed="false">
      <c r="A250" s="0" t="s">
        <v>302</v>
      </c>
      <c r="B250" s="0" t="n">
        <v>3</v>
      </c>
      <c r="C250" s="0" t="s">
        <v>31</v>
      </c>
      <c r="D250" s="0" t="s">
        <v>31</v>
      </c>
      <c r="E250" s="0" t="n">
        <v>833</v>
      </c>
      <c r="F250" s="0" t="n">
        <v>1061</v>
      </c>
      <c r="G250" s="0" t="n">
        <v>10</v>
      </c>
      <c r="H250" s="0" t="n">
        <v>6</v>
      </c>
      <c r="I250" s="0" t="n">
        <v>6</v>
      </c>
      <c r="J250" s="0" t="n">
        <v>4</v>
      </c>
      <c r="K250" s="0" t="n">
        <v>0.7</v>
      </c>
      <c r="L250" s="1" t="n">
        <v>124420.14</v>
      </c>
      <c r="M250" s="0" t="n">
        <v>123375</v>
      </c>
      <c r="N250" s="0" t="n">
        <v>1045.14</v>
      </c>
      <c r="O250" s="0" t="n">
        <v>98693.78</v>
      </c>
      <c r="P250" s="1" t="n">
        <v>13.87</v>
      </c>
      <c r="Q250" s="0" t="n">
        <v>0</v>
      </c>
      <c r="R250" s="0" t="n">
        <v>5</v>
      </c>
      <c r="S250" s="0" t="s">
        <v>32</v>
      </c>
      <c r="T250" s="0" t="str">
        <f aca="false">IF(L250="inf","False","True")</f>
        <v>True</v>
      </c>
      <c r="U250" s="0" t="str">
        <f aca="false">IF(V250="inf","False","True")</f>
        <v>False</v>
      </c>
      <c r="V250" s="4" t="s">
        <v>37</v>
      </c>
      <c r="W250" s="4" t="s">
        <v>37</v>
      </c>
      <c r="X250" s="0" t="n">
        <v>11.63</v>
      </c>
      <c r="Y250" s="5" t="e">
        <f aca="false">V250-L250</f>
        <v>#VALUE!</v>
      </c>
      <c r="Z250" s="6" t="e">
        <f aca="false">Y250/L250</f>
        <v>#VALUE!</v>
      </c>
      <c r="AA250" s="3" t="n">
        <f aca="false">X250-P250</f>
        <v>-2.24</v>
      </c>
      <c r="AB250" s="6" t="n">
        <f aca="false">AA250/P250</f>
        <v>-0.161499639509733</v>
      </c>
    </row>
    <row r="251" customFormat="false" ht="12.75" hidden="false" customHeight="false" outlineLevel="0" collapsed="false">
      <c r="A251" s="0" t="s">
        <v>303</v>
      </c>
      <c r="B251" s="0" t="n">
        <v>4</v>
      </c>
      <c r="C251" s="0" t="s">
        <v>31</v>
      </c>
      <c r="D251" s="0" t="s">
        <v>31</v>
      </c>
      <c r="E251" s="0" t="n">
        <v>833</v>
      </c>
      <c r="F251" s="0" t="n">
        <v>1141</v>
      </c>
      <c r="G251" s="0" t="n">
        <v>10</v>
      </c>
      <c r="H251" s="0" t="n">
        <v>6</v>
      </c>
      <c r="I251" s="0" t="n">
        <v>6</v>
      </c>
      <c r="J251" s="0" t="n">
        <v>4</v>
      </c>
      <c r="K251" s="0" t="n">
        <v>0.7</v>
      </c>
      <c r="L251" s="1" t="n">
        <v>171948.74</v>
      </c>
      <c r="M251" s="0" t="n">
        <v>170877.29</v>
      </c>
      <c r="N251" s="0" t="n">
        <v>1071.45</v>
      </c>
      <c r="O251" s="0" t="n">
        <v>95521.88</v>
      </c>
      <c r="P251" s="1" t="n">
        <v>27.56</v>
      </c>
      <c r="Q251" s="0" t="n">
        <v>0</v>
      </c>
      <c r="R251" s="0" t="n">
        <v>7</v>
      </c>
      <c r="S251" s="0" t="s">
        <v>32</v>
      </c>
      <c r="T251" s="0" t="str">
        <f aca="false">IF(L251="inf","False","True")</f>
        <v>True</v>
      </c>
      <c r="U251" s="0" t="str">
        <f aca="false">IF(V251="inf","False","True")</f>
        <v>True</v>
      </c>
      <c r="V251" s="4" t="n">
        <v>265607.07</v>
      </c>
      <c r="W251" s="4" t="n">
        <v>93276.11</v>
      </c>
      <c r="X251" s="0" t="n">
        <v>9.06</v>
      </c>
      <c r="Y251" s="5" t="n">
        <f aca="false">V251-L251</f>
        <v>93658.33</v>
      </c>
      <c r="Z251" s="6" t="n">
        <f aca="false">Y251/L251</f>
        <v>0.544687503961937</v>
      </c>
      <c r="AA251" s="3" t="n">
        <f aca="false">X251-P251</f>
        <v>-18.5</v>
      </c>
      <c r="AB251" s="6" t="n">
        <f aca="false">AA251/P251</f>
        <v>-0.671262699564586</v>
      </c>
    </row>
    <row r="252" customFormat="false" ht="12.75" hidden="false" customHeight="false" outlineLevel="0" collapsed="false">
      <c r="A252" s="0" t="s">
        <v>304</v>
      </c>
      <c r="B252" s="0" t="n">
        <v>0</v>
      </c>
      <c r="C252" s="0" t="s">
        <v>31</v>
      </c>
      <c r="D252" s="0" t="s">
        <v>31</v>
      </c>
      <c r="E252" s="0" t="n">
        <v>1166</v>
      </c>
      <c r="F252" s="0" t="n">
        <v>1460</v>
      </c>
      <c r="G252" s="0" t="n">
        <v>10</v>
      </c>
      <c r="H252" s="0" t="n">
        <v>6</v>
      </c>
      <c r="I252" s="0" t="n">
        <v>6</v>
      </c>
      <c r="J252" s="0" t="n">
        <v>4</v>
      </c>
      <c r="K252" s="0" t="n">
        <v>0.7</v>
      </c>
      <c r="L252" s="1" t="n">
        <v>162144.04</v>
      </c>
      <c r="M252" s="0" t="n">
        <v>160740.31</v>
      </c>
      <c r="N252" s="0" t="n">
        <v>1403.74</v>
      </c>
      <c r="O252" s="0" t="n">
        <v>134628.4</v>
      </c>
      <c r="P252" s="1" t="n">
        <v>12.93</v>
      </c>
      <c r="Q252" s="0" t="n">
        <v>0</v>
      </c>
      <c r="R252" s="0" t="n">
        <v>6</v>
      </c>
      <c r="S252" s="0" t="s">
        <v>32</v>
      </c>
      <c r="T252" s="0" t="str">
        <f aca="false">IF(L252="inf","False","True")</f>
        <v>True</v>
      </c>
      <c r="U252" s="0" t="str">
        <f aca="false">IF(V252="inf","False","True")</f>
        <v>False</v>
      </c>
      <c r="V252" s="4" t="s">
        <v>37</v>
      </c>
      <c r="W252" s="4" t="s">
        <v>37</v>
      </c>
      <c r="X252" s="0" t="n">
        <v>13.59</v>
      </c>
      <c r="Y252" s="5" t="e">
        <f aca="false">V252-L252</f>
        <v>#VALUE!</v>
      </c>
      <c r="Z252" s="6" t="e">
        <f aca="false">Y252/L252</f>
        <v>#VALUE!</v>
      </c>
      <c r="AA252" s="3" t="n">
        <f aca="false">X252-P252</f>
        <v>0.66</v>
      </c>
      <c r="AB252" s="6" t="n">
        <f aca="false">AA252/P252</f>
        <v>0.0510440835266821</v>
      </c>
    </row>
    <row r="253" customFormat="false" ht="12.75" hidden="false" customHeight="false" outlineLevel="0" collapsed="false">
      <c r="A253" s="0" t="s">
        <v>305</v>
      </c>
      <c r="B253" s="0" t="n">
        <v>1</v>
      </c>
      <c r="C253" s="0" t="s">
        <v>31</v>
      </c>
      <c r="D253" s="0" t="s">
        <v>31</v>
      </c>
      <c r="E253" s="0" t="n">
        <v>1166</v>
      </c>
      <c r="F253" s="0" t="n">
        <v>1581</v>
      </c>
      <c r="G253" s="0" t="n">
        <v>10</v>
      </c>
      <c r="H253" s="0" t="n">
        <v>6</v>
      </c>
      <c r="I253" s="0" t="n">
        <v>6</v>
      </c>
      <c r="J253" s="0" t="n">
        <v>4</v>
      </c>
      <c r="K253" s="0" t="n">
        <v>0.7</v>
      </c>
      <c r="L253" s="1" t="n">
        <v>489647.34</v>
      </c>
      <c r="M253" s="0" t="n">
        <v>488125.38</v>
      </c>
      <c r="N253" s="0" t="n">
        <v>1521.96</v>
      </c>
      <c r="O253" s="0" t="n">
        <v>129145.53</v>
      </c>
      <c r="P253" s="1" t="n">
        <v>9.57</v>
      </c>
      <c r="Q253" s="0" t="n">
        <v>0</v>
      </c>
      <c r="R253" s="0" t="n">
        <v>2</v>
      </c>
      <c r="S253" s="0" t="s">
        <v>32</v>
      </c>
      <c r="T253" s="0" t="str">
        <f aca="false">IF(L253="inf","False","True")</f>
        <v>True</v>
      </c>
      <c r="U253" s="0" t="str">
        <f aca="false">IF(V253="inf","False","True")</f>
        <v>False</v>
      </c>
      <c r="V253" s="4" t="s">
        <v>37</v>
      </c>
      <c r="W253" s="4" t="s">
        <v>37</v>
      </c>
      <c r="X253" s="0" t="n">
        <v>13.11</v>
      </c>
      <c r="Y253" s="5" t="e">
        <f aca="false">V253-L253</f>
        <v>#VALUE!</v>
      </c>
      <c r="Z253" s="6" t="e">
        <f aca="false">Y253/L253</f>
        <v>#VALUE!</v>
      </c>
      <c r="AA253" s="3" t="n">
        <f aca="false">X253-P253</f>
        <v>3.54</v>
      </c>
      <c r="AB253" s="6" t="n">
        <f aca="false">AA253/P253</f>
        <v>0.369905956112853</v>
      </c>
    </row>
    <row r="254" customFormat="false" ht="12.75" hidden="false" customHeight="false" outlineLevel="0" collapsed="false">
      <c r="A254" s="0" t="s">
        <v>306</v>
      </c>
      <c r="B254" s="0" t="n">
        <v>2</v>
      </c>
      <c r="C254" s="0" t="s">
        <v>31</v>
      </c>
      <c r="D254" s="0" t="s">
        <v>31</v>
      </c>
      <c r="E254" s="0" t="n">
        <v>1166</v>
      </c>
      <c r="F254" s="0" t="n">
        <v>1556</v>
      </c>
      <c r="G254" s="0" t="n">
        <v>10</v>
      </c>
      <c r="H254" s="0" t="n">
        <v>6</v>
      </c>
      <c r="I254" s="0" t="n">
        <v>6</v>
      </c>
      <c r="J254" s="0" t="n">
        <v>4</v>
      </c>
      <c r="K254" s="0" t="n">
        <v>0.7</v>
      </c>
      <c r="L254" s="1" t="n">
        <v>430864.6</v>
      </c>
      <c r="M254" s="0" t="n">
        <v>429354.84</v>
      </c>
      <c r="N254" s="0" t="n">
        <v>1509.77</v>
      </c>
      <c r="O254" s="0" t="n">
        <v>140567.74</v>
      </c>
      <c r="P254" s="1" t="n">
        <v>10.82</v>
      </c>
      <c r="Q254" s="0" t="n">
        <v>0</v>
      </c>
      <c r="R254" s="0" t="n">
        <v>14</v>
      </c>
      <c r="S254" s="0" t="s">
        <v>32</v>
      </c>
      <c r="T254" s="0" t="str">
        <f aca="false">IF(L254="inf","False","True")</f>
        <v>True</v>
      </c>
      <c r="U254" s="0" t="str">
        <f aca="false">IF(V254="inf","False","True")</f>
        <v>False</v>
      </c>
      <c r="V254" s="4" t="s">
        <v>37</v>
      </c>
      <c r="W254" s="4" t="s">
        <v>37</v>
      </c>
      <c r="X254" s="0" t="n">
        <v>10.19</v>
      </c>
      <c r="Y254" s="5" t="e">
        <f aca="false">V254-L254</f>
        <v>#VALUE!</v>
      </c>
      <c r="Z254" s="6" t="e">
        <f aca="false">Y254/L254</f>
        <v>#VALUE!</v>
      </c>
      <c r="AA254" s="3" t="n">
        <f aca="false">X254-P254</f>
        <v>-0.630000000000001</v>
      </c>
      <c r="AB254" s="6" t="n">
        <f aca="false">AA254/P254</f>
        <v>-0.0582255083179298</v>
      </c>
    </row>
    <row r="255" customFormat="false" ht="12.75" hidden="false" customHeight="false" outlineLevel="0" collapsed="false">
      <c r="A255" s="0" t="s">
        <v>307</v>
      </c>
      <c r="B255" s="0" t="n">
        <v>3</v>
      </c>
      <c r="C255" s="0" t="s">
        <v>31</v>
      </c>
      <c r="D255" s="0" t="s">
        <v>31</v>
      </c>
      <c r="E255" s="0" t="n">
        <v>1166</v>
      </c>
      <c r="F255" s="0" t="n">
        <v>1489</v>
      </c>
      <c r="G255" s="0" t="n">
        <v>10</v>
      </c>
      <c r="H255" s="0" t="n">
        <v>6</v>
      </c>
      <c r="I255" s="0" t="n">
        <v>6</v>
      </c>
      <c r="J255" s="0" t="n">
        <v>4</v>
      </c>
      <c r="K255" s="0" t="n">
        <v>0.7</v>
      </c>
      <c r="L255" s="1" t="n">
        <v>248377.73</v>
      </c>
      <c r="M255" s="0" t="n">
        <v>246932.78</v>
      </c>
      <c r="N255" s="0" t="n">
        <v>1444.95</v>
      </c>
      <c r="O255" s="0" t="n">
        <v>141846.32</v>
      </c>
      <c r="P255" s="1" t="n">
        <v>19.17</v>
      </c>
      <c r="Q255" s="0" t="n">
        <v>0</v>
      </c>
      <c r="R255" s="0" t="n">
        <v>7</v>
      </c>
      <c r="S255" s="0" t="s">
        <v>32</v>
      </c>
      <c r="T255" s="0" t="str">
        <f aca="false">IF(L255="inf","False","True")</f>
        <v>True</v>
      </c>
      <c r="U255" s="0" t="str">
        <f aca="false">IF(V255="inf","False","True")</f>
        <v>True</v>
      </c>
      <c r="V255" s="4" t="n">
        <v>230080.49</v>
      </c>
      <c r="W255" s="4" t="n">
        <v>143272.59</v>
      </c>
      <c r="X255" s="0" t="n">
        <v>5.22</v>
      </c>
      <c r="Y255" s="5" t="n">
        <f aca="false">V255-L255</f>
        <v>-18297.24</v>
      </c>
      <c r="Z255" s="6" t="n">
        <f aca="false">Y255/L255</f>
        <v>-0.073666990997945</v>
      </c>
      <c r="AA255" s="3" t="n">
        <f aca="false">X255-P255</f>
        <v>-13.95</v>
      </c>
      <c r="AB255" s="6" t="n">
        <f aca="false">AA255/P255</f>
        <v>-0.727699530516432</v>
      </c>
    </row>
    <row r="256" customFormat="false" ht="12.75" hidden="false" customHeight="false" outlineLevel="0" collapsed="false">
      <c r="A256" s="0" t="s">
        <v>308</v>
      </c>
      <c r="B256" s="0" t="n">
        <v>4</v>
      </c>
      <c r="C256" s="0" t="s">
        <v>31</v>
      </c>
      <c r="D256" s="0" t="s">
        <v>31</v>
      </c>
      <c r="E256" s="0" t="n">
        <v>1166</v>
      </c>
      <c r="F256" s="0" t="n">
        <v>1602</v>
      </c>
      <c r="G256" s="0" t="n">
        <v>10</v>
      </c>
      <c r="H256" s="0" t="n">
        <v>6</v>
      </c>
      <c r="I256" s="0" t="n">
        <v>6</v>
      </c>
      <c r="J256" s="0" t="n">
        <v>4</v>
      </c>
      <c r="K256" s="0" t="n">
        <v>0.7</v>
      </c>
      <c r="L256" s="1" t="n">
        <v>421029.2</v>
      </c>
      <c r="M256" s="0" t="n">
        <v>419495.66</v>
      </c>
      <c r="N256" s="0" t="n">
        <v>1533.53</v>
      </c>
      <c r="O256" s="0" t="n">
        <v>126065.2</v>
      </c>
      <c r="P256" s="1" t="n">
        <v>35.27</v>
      </c>
      <c r="Q256" s="0" t="n">
        <v>0</v>
      </c>
      <c r="R256" s="0" t="n">
        <v>12</v>
      </c>
      <c r="S256" s="0" t="s">
        <v>32</v>
      </c>
      <c r="T256" s="0" t="str">
        <f aca="false">IF(L256="inf","False","True")</f>
        <v>True</v>
      </c>
      <c r="U256" s="0" t="str">
        <f aca="false">IF(V256="inf","False","True")</f>
        <v>False</v>
      </c>
      <c r="V256" s="4" t="s">
        <v>37</v>
      </c>
      <c r="W256" s="4" t="s">
        <v>37</v>
      </c>
      <c r="X256" s="0" t="n">
        <v>12.59</v>
      </c>
      <c r="Y256" s="5" t="e">
        <f aca="false">V256-L256</f>
        <v>#VALUE!</v>
      </c>
      <c r="Z256" s="6" t="e">
        <f aca="false">Y256/L256</f>
        <v>#VALUE!</v>
      </c>
      <c r="AA256" s="3" t="n">
        <f aca="false">X256-P256</f>
        <v>-22.68</v>
      </c>
      <c r="AB256" s="6" t="n">
        <f aca="false">AA256/P256</f>
        <v>-0.64303941026368</v>
      </c>
    </row>
    <row r="257" customFormat="false" ht="12.75" hidden="false" customHeight="false" outlineLevel="0" collapsed="false">
      <c r="A257" s="0" t="s">
        <v>309</v>
      </c>
      <c r="B257" s="0" t="n">
        <v>0</v>
      </c>
      <c r="C257" s="0" t="s">
        <v>31</v>
      </c>
      <c r="D257" s="0" t="s">
        <v>31</v>
      </c>
      <c r="E257" s="0" t="n">
        <v>1666</v>
      </c>
      <c r="F257" s="0" t="n">
        <v>2088</v>
      </c>
      <c r="G257" s="0" t="n">
        <v>10</v>
      </c>
      <c r="H257" s="0" t="n">
        <v>6</v>
      </c>
      <c r="I257" s="0" t="n">
        <v>6</v>
      </c>
      <c r="J257" s="0" t="n">
        <v>4</v>
      </c>
      <c r="K257" s="0" t="n">
        <v>0.7</v>
      </c>
      <c r="L257" s="1" t="n">
        <v>185418.06</v>
      </c>
      <c r="M257" s="0" t="n">
        <v>183427.69</v>
      </c>
      <c r="N257" s="0" t="n">
        <v>1990.37</v>
      </c>
      <c r="O257" s="0" t="n">
        <v>197013.87</v>
      </c>
      <c r="P257" s="1" t="n">
        <v>17.9</v>
      </c>
      <c r="Q257" s="0" t="n">
        <v>0</v>
      </c>
      <c r="R257" s="0" t="n">
        <v>7</v>
      </c>
      <c r="S257" s="0" t="s">
        <v>32</v>
      </c>
      <c r="T257" s="0" t="str">
        <f aca="false">IF(L257="inf","False","True")</f>
        <v>True</v>
      </c>
      <c r="U257" s="0" t="str">
        <f aca="false">IF(V257="inf","False","True")</f>
        <v>False</v>
      </c>
      <c r="V257" s="4" t="s">
        <v>37</v>
      </c>
      <c r="W257" s="4" t="s">
        <v>37</v>
      </c>
      <c r="X257" s="0" t="n">
        <v>13.48</v>
      </c>
      <c r="Y257" s="5" t="e">
        <f aca="false">V257-L257</f>
        <v>#VALUE!</v>
      </c>
      <c r="Z257" s="6" t="e">
        <f aca="false">Y257/L257</f>
        <v>#VALUE!</v>
      </c>
      <c r="AA257" s="3" t="n">
        <f aca="false">X257-P257</f>
        <v>-4.42</v>
      </c>
      <c r="AB257" s="6" t="n">
        <f aca="false">AA257/P257</f>
        <v>-0.246927374301676</v>
      </c>
    </row>
    <row r="258" customFormat="false" ht="12.75" hidden="false" customHeight="false" outlineLevel="0" collapsed="false">
      <c r="A258" s="0" t="s">
        <v>310</v>
      </c>
      <c r="B258" s="0" t="n">
        <v>1</v>
      </c>
      <c r="C258" s="0" t="s">
        <v>31</v>
      </c>
      <c r="D258" s="0" t="s">
        <v>31</v>
      </c>
      <c r="E258" s="0" t="n">
        <v>1666</v>
      </c>
      <c r="F258" s="0" t="n">
        <v>2262</v>
      </c>
      <c r="G258" s="0" t="n">
        <v>10</v>
      </c>
      <c r="H258" s="0" t="n">
        <v>6</v>
      </c>
      <c r="I258" s="0" t="n">
        <v>6</v>
      </c>
      <c r="J258" s="0" t="n">
        <v>4</v>
      </c>
      <c r="K258" s="0" t="n">
        <v>0.7</v>
      </c>
      <c r="L258" s="1" t="n">
        <v>763888.33</v>
      </c>
      <c r="M258" s="0" t="n">
        <v>761738.04</v>
      </c>
      <c r="N258" s="0" t="n">
        <v>2150.29</v>
      </c>
      <c r="O258" s="0" t="n">
        <v>196851.45</v>
      </c>
      <c r="P258" s="1" t="n">
        <v>8.57</v>
      </c>
      <c r="Q258" s="0" t="n">
        <v>0</v>
      </c>
      <c r="R258" s="0" t="n">
        <v>3</v>
      </c>
      <c r="S258" s="0" t="s">
        <v>32</v>
      </c>
      <c r="T258" s="0" t="str">
        <f aca="false">IF(L258="inf","False","True")</f>
        <v>True</v>
      </c>
      <c r="U258" s="0" t="str">
        <f aca="false">IF(V258="inf","False","True")</f>
        <v>False</v>
      </c>
      <c r="V258" s="4" t="s">
        <v>37</v>
      </c>
      <c r="W258" s="4" t="s">
        <v>37</v>
      </c>
      <c r="X258" s="0" t="n">
        <v>13.03</v>
      </c>
      <c r="Y258" s="5" t="e">
        <f aca="false">V258-L258</f>
        <v>#VALUE!</v>
      </c>
      <c r="Z258" s="6" t="e">
        <f aca="false">Y258/L258</f>
        <v>#VALUE!</v>
      </c>
      <c r="AA258" s="3" t="n">
        <f aca="false">X258-P258</f>
        <v>4.46</v>
      </c>
      <c r="AB258" s="6" t="n">
        <f aca="false">AA258/P258</f>
        <v>0.520420070011669</v>
      </c>
    </row>
    <row r="259" customFormat="false" ht="12.75" hidden="false" customHeight="false" outlineLevel="0" collapsed="false">
      <c r="A259" s="0" t="s">
        <v>311</v>
      </c>
      <c r="B259" s="0" t="n">
        <v>2</v>
      </c>
      <c r="C259" s="0" t="s">
        <v>31</v>
      </c>
      <c r="D259" s="0" t="s">
        <v>31</v>
      </c>
      <c r="E259" s="0" t="n">
        <v>1666</v>
      </c>
      <c r="F259" s="0" t="n">
        <v>2225</v>
      </c>
      <c r="G259" s="0" t="n">
        <v>10</v>
      </c>
      <c r="H259" s="0" t="n">
        <v>6</v>
      </c>
      <c r="I259" s="0" t="n">
        <v>6</v>
      </c>
      <c r="J259" s="0" t="n">
        <v>4</v>
      </c>
      <c r="K259" s="0" t="n">
        <v>0.7</v>
      </c>
      <c r="L259" s="1" t="n">
        <v>611694.11</v>
      </c>
      <c r="M259" s="0" t="n">
        <v>609598.82</v>
      </c>
      <c r="N259" s="0" t="n">
        <v>2095.29</v>
      </c>
      <c r="O259" s="0" t="n">
        <v>201697.33</v>
      </c>
      <c r="P259" s="1" t="n">
        <v>5.53</v>
      </c>
      <c r="Q259" s="0" t="n">
        <v>0</v>
      </c>
      <c r="R259" s="0" t="n">
        <v>2</v>
      </c>
      <c r="S259" s="0" t="s">
        <v>32</v>
      </c>
      <c r="T259" s="0" t="str">
        <f aca="false">IF(L259="inf","False","True")</f>
        <v>True</v>
      </c>
      <c r="U259" s="0" t="str">
        <f aca="false">IF(V259="inf","False","True")</f>
        <v>False</v>
      </c>
      <c r="V259" s="4" t="s">
        <v>37</v>
      </c>
      <c r="W259" s="4" t="s">
        <v>37</v>
      </c>
      <c r="X259" s="0" t="n">
        <v>10.58</v>
      </c>
      <c r="Y259" s="5" t="e">
        <f aca="false">V259-L259</f>
        <v>#VALUE!</v>
      </c>
      <c r="Z259" s="6" t="e">
        <f aca="false">Y259/L259</f>
        <v>#VALUE!</v>
      </c>
      <c r="AA259" s="3" t="n">
        <f aca="false">X259-P259</f>
        <v>5.05</v>
      </c>
      <c r="AB259" s="6" t="n">
        <f aca="false">AA259/P259</f>
        <v>0.913200723327306</v>
      </c>
    </row>
    <row r="260" customFormat="false" ht="12.75" hidden="false" customHeight="false" outlineLevel="0" collapsed="false">
      <c r="A260" s="0" t="s">
        <v>312</v>
      </c>
      <c r="B260" s="0" t="n">
        <v>3</v>
      </c>
      <c r="C260" s="0" t="s">
        <v>31</v>
      </c>
      <c r="D260" s="0" t="s">
        <v>31</v>
      </c>
      <c r="E260" s="0" t="n">
        <v>1666</v>
      </c>
      <c r="F260" s="0" t="n">
        <v>2130</v>
      </c>
      <c r="G260" s="0" t="n">
        <v>10</v>
      </c>
      <c r="H260" s="0" t="n">
        <v>6</v>
      </c>
      <c r="I260" s="0" t="n">
        <v>6</v>
      </c>
      <c r="J260" s="0" t="n">
        <v>4</v>
      </c>
      <c r="K260" s="0" t="n">
        <v>0.7</v>
      </c>
      <c r="L260" s="1" t="n">
        <v>244223.4</v>
      </c>
      <c r="M260" s="0" t="n">
        <v>242116</v>
      </c>
      <c r="N260" s="0" t="n">
        <v>2107.4</v>
      </c>
      <c r="O260" s="0" t="n">
        <v>196926.2</v>
      </c>
      <c r="P260" s="1" t="n">
        <v>18.55</v>
      </c>
      <c r="Q260" s="0" t="n">
        <v>0</v>
      </c>
      <c r="R260" s="0" t="n">
        <v>7</v>
      </c>
      <c r="S260" s="0" t="s">
        <v>32</v>
      </c>
      <c r="T260" s="0" t="str">
        <f aca="false">IF(L260="inf","False","True")</f>
        <v>True</v>
      </c>
      <c r="U260" s="0" t="str">
        <f aca="false">IF(V260="inf","False","True")</f>
        <v>False</v>
      </c>
      <c r="V260" s="4" t="s">
        <v>37</v>
      </c>
      <c r="W260" s="4" t="s">
        <v>37</v>
      </c>
      <c r="X260" s="0" t="n">
        <v>10.41</v>
      </c>
      <c r="Y260" s="5" t="e">
        <f aca="false">V260-L260</f>
        <v>#VALUE!</v>
      </c>
      <c r="Z260" s="6" t="e">
        <f aca="false">Y260/L260</f>
        <v>#VALUE!</v>
      </c>
      <c r="AA260" s="3" t="n">
        <f aca="false">X260-P260</f>
        <v>-8.14</v>
      </c>
      <c r="AB260" s="6" t="n">
        <f aca="false">AA260/P260</f>
        <v>-0.438814016172507</v>
      </c>
    </row>
    <row r="261" customFormat="false" ht="12.75" hidden="false" customHeight="false" outlineLevel="0" collapsed="false">
      <c r="A261" s="0" t="s">
        <v>313</v>
      </c>
      <c r="B261" s="0" t="n">
        <v>4</v>
      </c>
      <c r="C261" s="0" t="s">
        <v>31</v>
      </c>
      <c r="D261" s="0" t="s">
        <v>31</v>
      </c>
      <c r="E261" s="0" t="n">
        <v>1666</v>
      </c>
      <c r="F261" s="0" t="n">
        <v>2291</v>
      </c>
      <c r="G261" s="0" t="n">
        <v>10</v>
      </c>
      <c r="H261" s="0" t="n">
        <v>6</v>
      </c>
      <c r="I261" s="0" t="n">
        <v>6</v>
      </c>
      <c r="J261" s="0" t="n">
        <v>4</v>
      </c>
      <c r="K261" s="0" t="n">
        <v>0.7</v>
      </c>
      <c r="L261" s="1" t="n">
        <v>364076.99</v>
      </c>
      <c r="M261" s="0" t="n">
        <v>361862.13</v>
      </c>
      <c r="N261" s="0" t="n">
        <v>2214.86</v>
      </c>
      <c r="O261" s="0" t="n">
        <v>183231.76</v>
      </c>
      <c r="P261" s="1" t="n">
        <v>20.5</v>
      </c>
      <c r="Q261" s="0" t="n">
        <v>0</v>
      </c>
      <c r="R261" s="0" t="n">
        <v>1</v>
      </c>
      <c r="S261" s="0" t="s">
        <v>42</v>
      </c>
      <c r="T261" s="0" t="str">
        <f aca="false">IF(L261="inf","False","True")</f>
        <v>True</v>
      </c>
      <c r="U261" s="0" t="str">
        <f aca="false">IF(V261="inf","False","True")</f>
        <v>True</v>
      </c>
      <c r="V261" s="4" t="n">
        <v>452486.96</v>
      </c>
      <c r="W261" s="4" t="n">
        <v>187156.31</v>
      </c>
      <c r="X261" s="0" t="n">
        <v>12.59</v>
      </c>
      <c r="Y261" s="5" t="n">
        <f aca="false">V261-L261</f>
        <v>88409.97</v>
      </c>
      <c r="Z261" s="6" t="n">
        <f aca="false">Y261/L261</f>
        <v>0.242833171082853</v>
      </c>
      <c r="AA261" s="3" t="n">
        <f aca="false">X261-P261</f>
        <v>-7.91</v>
      </c>
      <c r="AB261" s="6" t="n">
        <f aca="false">AA261/P261</f>
        <v>-0.385853658536585</v>
      </c>
    </row>
    <row r="262" customFormat="false" ht="12.75" hidden="false" customHeight="false" outlineLevel="0" collapsed="false">
      <c r="A262" s="0" t="s">
        <v>314</v>
      </c>
      <c r="B262" s="0" t="n">
        <v>0</v>
      </c>
      <c r="C262" s="0" t="s">
        <v>31</v>
      </c>
      <c r="D262" s="0" t="s">
        <v>31</v>
      </c>
      <c r="E262" s="0" t="n">
        <v>500</v>
      </c>
      <c r="F262" s="0" t="n">
        <v>743</v>
      </c>
      <c r="G262" s="0" t="n">
        <v>10</v>
      </c>
      <c r="H262" s="0" t="n">
        <v>6</v>
      </c>
      <c r="I262" s="0" t="n">
        <v>6</v>
      </c>
      <c r="J262" s="0" t="n">
        <v>8</v>
      </c>
      <c r="K262" s="0" t="n">
        <v>0.7</v>
      </c>
      <c r="L262" s="1" t="n">
        <v>743</v>
      </c>
      <c r="M262" s="0" t="n">
        <v>0</v>
      </c>
      <c r="N262" s="0" t="n">
        <v>743</v>
      </c>
      <c r="O262" s="0" t="n">
        <v>63679</v>
      </c>
      <c r="P262" s="1" t="n">
        <v>5.72</v>
      </c>
      <c r="Q262" s="0" t="n">
        <v>0</v>
      </c>
      <c r="R262" s="0" t="n">
        <v>1</v>
      </c>
      <c r="S262" s="0" t="s">
        <v>42</v>
      </c>
      <c r="T262" s="0" t="str">
        <f aca="false">IF(L262="inf","False","True")</f>
        <v>True</v>
      </c>
      <c r="U262" s="0" t="str">
        <f aca="false">IF(V262="inf","False","True")</f>
        <v>False</v>
      </c>
      <c r="V262" s="4" t="s">
        <v>37</v>
      </c>
      <c r="W262" s="4" t="s">
        <v>37</v>
      </c>
      <c r="X262" s="0" t="n">
        <v>22.01</v>
      </c>
      <c r="Y262" s="5" t="e">
        <f aca="false">V262-L262</f>
        <v>#VALUE!</v>
      </c>
      <c r="Z262" s="6" t="e">
        <f aca="false">Y262/L262</f>
        <v>#VALUE!</v>
      </c>
      <c r="AA262" s="3" t="n">
        <f aca="false">X262-P262</f>
        <v>16.29</v>
      </c>
      <c r="AB262" s="6" t="n">
        <f aca="false">AA262/P262</f>
        <v>2.8479020979021</v>
      </c>
    </row>
    <row r="263" customFormat="false" ht="12.75" hidden="false" customHeight="false" outlineLevel="0" collapsed="false">
      <c r="A263" s="0" t="s">
        <v>315</v>
      </c>
      <c r="B263" s="0" t="n">
        <v>1</v>
      </c>
      <c r="C263" s="0" t="s">
        <v>31</v>
      </c>
      <c r="D263" s="0" t="s">
        <v>31</v>
      </c>
      <c r="E263" s="0" t="n">
        <v>500</v>
      </c>
      <c r="F263" s="0" t="n">
        <v>781</v>
      </c>
      <c r="G263" s="0" t="n">
        <v>10</v>
      </c>
      <c r="H263" s="0" t="n">
        <v>6</v>
      </c>
      <c r="I263" s="0" t="n">
        <v>6</v>
      </c>
      <c r="J263" s="0" t="n">
        <v>8</v>
      </c>
      <c r="K263" s="0" t="n">
        <v>0.7</v>
      </c>
      <c r="L263" s="1" t="n">
        <v>781</v>
      </c>
      <c r="M263" s="0" t="n">
        <v>0</v>
      </c>
      <c r="N263" s="0" t="n">
        <v>781</v>
      </c>
      <c r="O263" s="0" t="n">
        <v>63528</v>
      </c>
      <c r="P263" s="1" t="n">
        <v>7.83</v>
      </c>
      <c r="Q263" s="0" t="n">
        <v>0</v>
      </c>
      <c r="R263" s="0" t="n">
        <v>1</v>
      </c>
      <c r="S263" s="0" t="s">
        <v>42</v>
      </c>
      <c r="T263" s="0" t="str">
        <f aca="false">IF(L263="inf","False","True")</f>
        <v>True</v>
      </c>
      <c r="U263" s="0" t="str">
        <f aca="false">IF(V263="inf","False","True")</f>
        <v>True</v>
      </c>
      <c r="V263" s="4" t="n">
        <v>113468.34</v>
      </c>
      <c r="W263" s="4" t="n">
        <v>55446.71</v>
      </c>
      <c r="X263" s="0" t="n">
        <v>83.79</v>
      </c>
      <c r="Y263" s="5" t="n">
        <f aca="false">V263-L263</f>
        <v>112687.34</v>
      </c>
      <c r="Z263" s="6" t="n">
        <f aca="false">Y263/L263</f>
        <v>144.285966709347</v>
      </c>
      <c r="AA263" s="3" t="n">
        <f aca="false">X263-P263</f>
        <v>75.96</v>
      </c>
      <c r="AB263" s="6" t="n">
        <f aca="false">AA263/P263</f>
        <v>9.70114942528736</v>
      </c>
    </row>
    <row r="264" customFormat="false" ht="12.75" hidden="false" customHeight="false" outlineLevel="0" collapsed="false">
      <c r="A264" s="0" t="s">
        <v>316</v>
      </c>
      <c r="B264" s="0" t="n">
        <v>2</v>
      </c>
      <c r="C264" s="0" t="s">
        <v>31</v>
      </c>
      <c r="D264" s="0" t="s">
        <v>31</v>
      </c>
      <c r="E264" s="0" t="n">
        <v>500</v>
      </c>
      <c r="F264" s="0" t="n">
        <v>729</v>
      </c>
      <c r="G264" s="0" t="n">
        <v>10</v>
      </c>
      <c r="H264" s="0" t="n">
        <v>6</v>
      </c>
      <c r="I264" s="0" t="n">
        <v>6</v>
      </c>
      <c r="J264" s="0" t="n">
        <v>8</v>
      </c>
      <c r="K264" s="0" t="n">
        <v>0.7</v>
      </c>
      <c r="L264" s="1" t="n">
        <v>729</v>
      </c>
      <c r="M264" s="0" t="n">
        <v>0</v>
      </c>
      <c r="N264" s="0" t="n">
        <v>729</v>
      </c>
      <c r="O264" s="0" t="n">
        <v>55979</v>
      </c>
      <c r="P264" s="1" t="n">
        <v>8.18</v>
      </c>
      <c r="Q264" s="0" t="n">
        <v>0</v>
      </c>
      <c r="R264" s="0" t="n">
        <v>1</v>
      </c>
      <c r="S264" s="0" t="s">
        <v>42</v>
      </c>
      <c r="T264" s="0" t="str">
        <f aca="false">IF(L264="inf","False","True")</f>
        <v>True</v>
      </c>
      <c r="U264" s="0" t="str">
        <f aca="false">IF(V264="inf","False","True")</f>
        <v>True</v>
      </c>
      <c r="V264" s="4" t="n">
        <v>129434.99</v>
      </c>
      <c r="W264" s="4" t="n">
        <v>50888.35</v>
      </c>
      <c r="X264" s="0" t="n">
        <v>181.96</v>
      </c>
      <c r="Y264" s="5" t="n">
        <f aca="false">V264-L264</f>
        <v>128705.99</v>
      </c>
      <c r="Z264" s="6" t="n">
        <f aca="false">Y264/L264</f>
        <v>176.551426611797</v>
      </c>
      <c r="AA264" s="3" t="n">
        <f aca="false">X264-P264</f>
        <v>173.78</v>
      </c>
      <c r="AB264" s="6" t="n">
        <f aca="false">AA264/P264</f>
        <v>21.2444987775061</v>
      </c>
    </row>
    <row r="265" customFormat="false" ht="12.75" hidden="false" customHeight="false" outlineLevel="0" collapsed="false">
      <c r="A265" s="0" t="s">
        <v>317</v>
      </c>
      <c r="B265" s="0" t="n">
        <v>3</v>
      </c>
      <c r="C265" s="0" t="s">
        <v>31</v>
      </c>
      <c r="D265" s="0" t="s">
        <v>31</v>
      </c>
      <c r="E265" s="0" t="n">
        <v>500</v>
      </c>
      <c r="F265" s="0" t="n">
        <v>710</v>
      </c>
      <c r="G265" s="0" t="n">
        <v>10</v>
      </c>
      <c r="H265" s="0" t="n">
        <v>6</v>
      </c>
      <c r="I265" s="0" t="n">
        <v>6</v>
      </c>
      <c r="J265" s="0" t="n">
        <v>8</v>
      </c>
      <c r="K265" s="0" t="n">
        <v>0.7</v>
      </c>
      <c r="L265" s="1" t="n">
        <v>122656.62</v>
      </c>
      <c r="M265" s="0" t="n">
        <v>122011.45</v>
      </c>
      <c r="N265" s="0" t="n">
        <v>645.17</v>
      </c>
      <c r="O265" s="0" t="n">
        <v>49779.89</v>
      </c>
      <c r="P265" s="1" t="n">
        <v>638.74</v>
      </c>
      <c r="Q265" s="0" t="n">
        <v>0.03</v>
      </c>
      <c r="R265" s="0" t="n">
        <v>4</v>
      </c>
      <c r="S265" s="0" t="s">
        <v>318</v>
      </c>
      <c r="T265" s="0" t="str">
        <f aca="false">IF(L265="inf","False","True")</f>
        <v>True</v>
      </c>
      <c r="U265" s="0" t="str">
        <f aca="false">IF(V265="inf","False","True")</f>
        <v>True</v>
      </c>
      <c r="V265" s="4" t="n">
        <v>69216.5</v>
      </c>
      <c r="W265" s="4" t="n">
        <v>50960.91</v>
      </c>
      <c r="X265" s="0" t="n">
        <v>3.8</v>
      </c>
      <c r="Y265" s="5" t="n">
        <f aca="false">V265-L265</f>
        <v>-53440.12</v>
      </c>
      <c r="Z265" s="6" t="n">
        <f aca="false">Y265/L265</f>
        <v>-0.435688836036734</v>
      </c>
      <c r="AA265" s="3" t="n">
        <f aca="false">X265-P265</f>
        <v>-634.94</v>
      </c>
      <c r="AB265" s="6" t="n">
        <f aca="false">AA265/P265</f>
        <v>-0.994050787487867</v>
      </c>
    </row>
    <row r="266" customFormat="false" ht="12.75" hidden="false" customHeight="false" outlineLevel="0" collapsed="false">
      <c r="A266" s="0" t="s">
        <v>319</v>
      </c>
      <c r="B266" s="0" t="n">
        <v>4</v>
      </c>
      <c r="C266" s="0" t="s">
        <v>31</v>
      </c>
      <c r="D266" s="0" t="s">
        <v>31</v>
      </c>
      <c r="E266" s="0" t="n">
        <v>500</v>
      </c>
      <c r="F266" s="0" t="n">
        <v>758</v>
      </c>
      <c r="G266" s="0" t="n">
        <v>10</v>
      </c>
      <c r="H266" s="0" t="n">
        <v>6</v>
      </c>
      <c r="I266" s="0" t="n">
        <v>6</v>
      </c>
      <c r="J266" s="0" t="n">
        <v>8</v>
      </c>
      <c r="K266" s="0" t="n">
        <v>0.7</v>
      </c>
      <c r="L266" s="1" t="n">
        <v>758</v>
      </c>
      <c r="M266" s="0" t="n">
        <v>0</v>
      </c>
      <c r="N266" s="0" t="n">
        <v>758</v>
      </c>
      <c r="O266" s="0" t="n">
        <v>59235</v>
      </c>
      <c r="P266" s="1" t="n">
        <v>11.44</v>
      </c>
      <c r="Q266" s="0" t="n">
        <v>0</v>
      </c>
      <c r="R266" s="0" t="n">
        <v>8</v>
      </c>
      <c r="S266" s="0" t="s">
        <v>42</v>
      </c>
      <c r="T266" s="0" t="str">
        <f aca="false">IF(L266="inf","False","True")</f>
        <v>True</v>
      </c>
      <c r="U266" s="0" t="str">
        <f aca="false">IF(V266="inf","False","True")</f>
        <v>True</v>
      </c>
      <c r="V266" s="4" t="n">
        <v>86873.52</v>
      </c>
      <c r="W266" s="4" t="n">
        <v>55212.98</v>
      </c>
      <c r="X266" s="0" t="n">
        <v>109.99</v>
      </c>
      <c r="Y266" s="5" t="n">
        <f aca="false">V266-L266</f>
        <v>86115.52</v>
      </c>
      <c r="Z266" s="6" t="n">
        <f aca="false">Y266/L266</f>
        <v>113.608865435356</v>
      </c>
      <c r="AA266" s="3" t="n">
        <f aca="false">X266-P266</f>
        <v>98.55</v>
      </c>
      <c r="AB266" s="6" t="n">
        <f aca="false">AA266/P266</f>
        <v>8.61451048951049</v>
      </c>
    </row>
    <row r="267" customFormat="false" ht="12.75" hidden="false" customHeight="false" outlineLevel="0" collapsed="false">
      <c r="A267" s="0" t="s">
        <v>320</v>
      </c>
      <c r="B267" s="0" t="n">
        <v>0</v>
      </c>
      <c r="C267" s="0" t="s">
        <v>31</v>
      </c>
      <c r="D267" s="0" t="s">
        <v>31</v>
      </c>
      <c r="E267" s="0" t="n">
        <v>833</v>
      </c>
      <c r="F267" s="0" t="n">
        <v>1239</v>
      </c>
      <c r="G267" s="0" t="n">
        <v>10</v>
      </c>
      <c r="H267" s="0" t="n">
        <v>6</v>
      </c>
      <c r="I267" s="0" t="n">
        <v>6</v>
      </c>
      <c r="J267" s="0" t="n">
        <v>8</v>
      </c>
      <c r="K267" s="0" t="n">
        <v>0.7</v>
      </c>
      <c r="L267" s="1" t="n">
        <v>1239</v>
      </c>
      <c r="M267" s="0" t="n">
        <v>0</v>
      </c>
      <c r="N267" s="0" t="n">
        <v>1239</v>
      </c>
      <c r="O267" s="0" t="n">
        <v>106132</v>
      </c>
      <c r="P267" s="1" t="n">
        <v>5.65</v>
      </c>
      <c r="Q267" s="0" t="n">
        <v>0</v>
      </c>
      <c r="R267" s="0" t="n">
        <v>1</v>
      </c>
      <c r="S267" s="0" t="s">
        <v>42</v>
      </c>
      <c r="T267" s="0" t="str">
        <f aca="false">IF(L267="inf","False","True")</f>
        <v>True</v>
      </c>
      <c r="U267" s="0" t="str">
        <f aca="false">IF(V267="inf","False","True")</f>
        <v>True</v>
      </c>
      <c r="V267" s="4" t="n">
        <v>317751.29</v>
      </c>
      <c r="W267" s="4" t="n">
        <v>94606.61</v>
      </c>
      <c r="X267" s="0" t="n">
        <v>18.47</v>
      </c>
      <c r="Y267" s="5" t="n">
        <f aca="false">V267-L267</f>
        <v>316512.29</v>
      </c>
      <c r="Z267" s="6" t="n">
        <f aca="false">Y267/L267</f>
        <v>255.45786117837</v>
      </c>
      <c r="AA267" s="3" t="n">
        <f aca="false">X267-P267</f>
        <v>12.82</v>
      </c>
      <c r="AB267" s="6" t="n">
        <f aca="false">AA267/P267</f>
        <v>2.26902654867257</v>
      </c>
    </row>
    <row r="268" customFormat="false" ht="12.75" hidden="false" customHeight="false" outlineLevel="0" collapsed="false">
      <c r="A268" s="0" t="s">
        <v>321</v>
      </c>
      <c r="B268" s="0" t="n">
        <v>1</v>
      </c>
      <c r="C268" s="0" t="s">
        <v>31</v>
      </c>
      <c r="D268" s="0" t="s">
        <v>31</v>
      </c>
      <c r="E268" s="0" t="n">
        <v>833</v>
      </c>
      <c r="F268" s="0" t="n">
        <v>1300</v>
      </c>
      <c r="G268" s="0" t="n">
        <v>10</v>
      </c>
      <c r="H268" s="0" t="n">
        <v>6</v>
      </c>
      <c r="I268" s="0" t="n">
        <v>6</v>
      </c>
      <c r="J268" s="0" t="n">
        <v>8</v>
      </c>
      <c r="K268" s="0" t="n">
        <v>0.7</v>
      </c>
      <c r="L268" s="1" t="n">
        <v>1300</v>
      </c>
      <c r="M268" s="0" t="n">
        <v>0</v>
      </c>
      <c r="N268" s="0" t="n">
        <v>1300</v>
      </c>
      <c r="O268" s="0" t="n">
        <v>105900</v>
      </c>
      <c r="P268" s="1" t="n">
        <v>7.3</v>
      </c>
      <c r="Q268" s="0" t="n">
        <v>0</v>
      </c>
      <c r="R268" s="0" t="n">
        <v>1</v>
      </c>
      <c r="S268" s="0" t="s">
        <v>42</v>
      </c>
      <c r="T268" s="0" t="str">
        <f aca="false">IF(L268="inf","False","True")</f>
        <v>True</v>
      </c>
      <c r="U268" s="0" t="str">
        <f aca="false">IF(V268="inf","False","True")</f>
        <v>True</v>
      </c>
      <c r="V268" s="4" t="n">
        <v>169259.16</v>
      </c>
      <c r="W268" s="4" t="n">
        <v>92036.21</v>
      </c>
      <c r="X268" s="0" t="n">
        <v>40.83</v>
      </c>
      <c r="Y268" s="5" t="n">
        <f aca="false">V268-L268</f>
        <v>167959.16</v>
      </c>
      <c r="Z268" s="6" t="n">
        <f aca="false">Y268/L268</f>
        <v>129.199353846154</v>
      </c>
      <c r="AA268" s="3" t="n">
        <f aca="false">X268-P268</f>
        <v>33.53</v>
      </c>
      <c r="AB268" s="6" t="n">
        <f aca="false">AA268/P268</f>
        <v>4.59315068493151</v>
      </c>
    </row>
    <row r="269" customFormat="false" ht="12.75" hidden="false" customHeight="false" outlineLevel="0" collapsed="false">
      <c r="A269" s="0" t="s">
        <v>322</v>
      </c>
      <c r="B269" s="0" t="n">
        <v>2</v>
      </c>
      <c r="C269" s="0" t="s">
        <v>31</v>
      </c>
      <c r="D269" s="0" t="s">
        <v>31</v>
      </c>
      <c r="E269" s="0" t="n">
        <v>833</v>
      </c>
      <c r="F269" s="0" t="n">
        <v>1215</v>
      </c>
      <c r="G269" s="0" t="n">
        <v>10</v>
      </c>
      <c r="H269" s="0" t="n">
        <v>6</v>
      </c>
      <c r="I269" s="0" t="n">
        <v>6</v>
      </c>
      <c r="J269" s="0" t="n">
        <v>8</v>
      </c>
      <c r="K269" s="0" t="n">
        <v>0.7</v>
      </c>
      <c r="L269" s="1" t="n">
        <v>1215</v>
      </c>
      <c r="M269" s="0" t="n">
        <v>0</v>
      </c>
      <c r="N269" s="0" t="n">
        <v>1215</v>
      </c>
      <c r="O269" s="0" t="n">
        <v>93303</v>
      </c>
      <c r="P269" s="1" t="n">
        <v>7.85</v>
      </c>
      <c r="Q269" s="0" t="n">
        <v>0</v>
      </c>
      <c r="R269" s="0" t="n">
        <v>1</v>
      </c>
      <c r="S269" s="0" t="s">
        <v>42</v>
      </c>
      <c r="T269" s="0" t="str">
        <f aca="false">IF(L269="inf","False","True")</f>
        <v>True</v>
      </c>
      <c r="U269" s="0" t="str">
        <f aca="false">IF(V269="inf","False","True")</f>
        <v>True</v>
      </c>
      <c r="V269" s="4" t="n">
        <v>210562.64</v>
      </c>
      <c r="W269" s="4" t="n">
        <v>83187.64</v>
      </c>
      <c r="X269" s="0" t="n">
        <v>6.63</v>
      </c>
      <c r="Y269" s="5" t="n">
        <f aca="false">V269-L269</f>
        <v>209347.64</v>
      </c>
      <c r="Z269" s="6" t="n">
        <f aca="false">Y269/L269</f>
        <v>172.30258436214</v>
      </c>
      <c r="AA269" s="3" t="n">
        <f aca="false">X269-P269</f>
        <v>-1.22</v>
      </c>
      <c r="AB269" s="6" t="n">
        <f aca="false">AA269/P269</f>
        <v>-0.155414012738853</v>
      </c>
    </row>
    <row r="270" customFormat="false" ht="12.75" hidden="false" customHeight="false" outlineLevel="0" collapsed="false">
      <c r="A270" s="0" t="s">
        <v>323</v>
      </c>
      <c r="B270" s="0" t="n">
        <v>3</v>
      </c>
      <c r="C270" s="0" t="s">
        <v>31</v>
      </c>
      <c r="D270" s="0" t="s">
        <v>31</v>
      </c>
      <c r="E270" s="0" t="n">
        <v>833</v>
      </c>
      <c r="F270" s="0" t="n">
        <v>1181</v>
      </c>
      <c r="G270" s="0" t="n">
        <v>10</v>
      </c>
      <c r="H270" s="0" t="n">
        <v>6</v>
      </c>
      <c r="I270" s="0" t="n">
        <v>6</v>
      </c>
      <c r="J270" s="0" t="n">
        <v>8</v>
      </c>
      <c r="K270" s="0" t="n">
        <v>0.7</v>
      </c>
      <c r="L270" s="1" t="n">
        <v>221721.89</v>
      </c>
      <c r="M270" s="0" t="n">
        <v>220587.84</v>
      </c>
      <c r="N270" s="0" t="n">
        <v>1134.05</v>
      </c>
      <c r="O270" s="0" t="n">
        <v>82973.69</v>
      </c>
      <c r="P270" s="1" t="n">
        <v>607.19</v>
      </c>
      <c r="Q270" s="0" t="n">
        <v>0.15</v>
      </c>
      <c r="R270" s="0" t="n">
        <v>1</v>
      </c>
      <c r="S270" s="0" t="s">
        <v>42</v>
      </c>
      <c r="T270" s="0" t="str">
        <f aca="false">IF(L270="inf","False","True")</f>
        <v>True</v>
      </c>
      <c r="U270" s="0" t="str">
        <f aca="false">IF(V270="inf","False","True")</f>
        <v>True</v>
      </c>
      <c r="V270" s="4" t="n">
        <v>148341.6</v>
      </c>
      <c r="W270" s="4" t="n">
        <v>84392.01</v>
      </c>
      <c r="X270" s="0" t="n">
        <v>0.95</v>
      </c>
      <c r="Y270" s="5" t="n">
        <f aca="false">V270-L270</f>
        <v>-73380.29</v>
      </c>
      <c r="Z270" s="6" t="n">
        <f aca="false">Y270/L270</f>
        <v>-0.330956451796437</v>
      </c>
      <c r="AA270" s="3" t="n">
        <f aca="false">X270-P270</f>
        <v>-606.24</v>
      </c>
      <c r="AB270" s="6" t="n">
        <f aca="false">AA270/P270</f>
        <v>-0.998435415603024</v>
      </c>
    </row>
    <row r="271" customFormat="false" ht="12.75" hidden="false" customHeight="false" outlineLevel="0" collapsed="false">
      <c r="A271" s="0" t="s">
        <v>324</v>
      </c>
      <c r="B271" s="0" t="n">
        <v>4</v>
      </c>
      <c r="C271" s="0" t="s">
        <v>31</v>
      </c>
      <c r="D271" s="0" t="s">
        <v>31</v>
      </c>
      <c r="E271" s="0" t="n">
        <v>833</v>
      </c>
      <c r="F271" s="0" t="n">
        <v>1262</v>
      </c>
      <c r="G271" s="0" t="n">
        <v>10</v>
      </c>
      <c r="H271" s="0" t="n">
        <v>6</v>
      </c>
      <c r="I271" s="0" t="n">
        <v>6</v>
      </c>
      <c r="J271" s="0" t="n">
        <v>8</v>
      </c>
      <c r="K271" s="0" t="n">
        <v>0.7</v>
      </c>
      <c r="L271" s="1" t="n">
        <v>1262</v>
      </c>
      <c r="M271" s="0" t="n">
        <v>0</v>
      </c>
      <c r="N271" s="0" t="n">
        <v>1262</v>
      </c>
      <c r="O271" s="0" t="n">
        <v>98679</v>
      </c>
      <c r="P271" s="1" t="n">
        <v>6.81</v>
      </c>
      <c r="Q271" s="0" t="n">
        <v>0</v>
      </c>
      <c r="R271" s="0" t="n">
        <v>1</v>
      </c>
      <c r="S271" s="0" t="s">
        <v>42</v>
      </c>
      <c r="T271" s="0" t="str">
        <f aca="false">IF(L271="inf","False","True")</f>
        <v>True</v>
      </c>
      <c r="U271" s="0" t="str">
        <f aca="false">IF(V271="inf","False","True")</f>
        <v>True</v>
      </c>
      <c r="V271" s="4" t="n">
        <v>52073.18</v>
      </c>
      <c r="W271" s="4" t="n">
        <v>94669.02</v>
      </c>
      <c r="X271" s="0" t="n">
        <v>72.02</v>
      </c>
      <c r="Y271" s="5" t="n">
        <f aca="false">V271-L271</f>
        <v>50811.18</v>
      </c>
      <c r="Z271" s="6" t="n">
        <f aca="false">Y271/L271</f>
        <v>40.2624247226624</v>
      </c>
      <c r="AA271" s="3" t="n">
        <f aca="false">X271-P271</f>
        <v>65.21</v>
      </c>
      <c r="AB271" s="6" t="n">
        <f aca="false">AA271/P271</f>
        <v>9.57562408223201</v>
      </c>
    </row>
    <row r="272" customFormat="false" ht="12.75" hidden="false" customHeight="false" outlineLevel="0" collapsed="false">
      <c r="A272" s="0" t="s">
        <v>325</v>
      </c>
      <c r="B272" s="0" t="n">
        <v>0</v>
      </c>
      <c r="C272" s="0" t="s">
        <v>31</v>
      </c>
      <c r="D272" s="0" t="s">
        <v>31</v>
      </c>
      <c r="E272" s="0" t="n">
        <v>1166</v>
      </c>
      <c r="F272" s="0" t="n">
        <v>1738</v>
      </c>
      <c r="G272" s="0" t="n">
        <v>10</v>
      </c>
      <c r="H272" s="0" t="n">
        <v>6</v>
      </c>
      <c r="I272" s="0" t="n">
        <v>6</v>
      </c>
      <c r="J272" s="0" t="n">
        <v>8</v>
      </c>
      <c r="K272" s="0" t="n">
        <v>0.7</v>
      </c>
      <c r="L272" s="1" t="n">
        <v>1738</v>
      </c>
      <c r="M272" s="0" t="n">
        <v>0</v>
      </c>
      <c r="N272" s="0" t="n">
        <v>1738</v>
      </c>
      <c r="O272" s="0" t="n">
        <v>148648</v>
      </c>
      <c r="P272" s="1" t="n">
        <v>7.42</v>
      </c>
      <c r="Q272" s="0" t="n">
        <v>0</v>
      </c>
      <c r="R272" s="0" t="n">
        <v>2</v>
      </c>
      <c r="S272" s="0" t="s">
        <v>42</v>
      </c>
      <c r="T272" s="0" t="str">
        <f aca="false">IF(L272="inf","False","True")</f>
        <v>True</v>
      </c>
      <c r="U272" s="0" t="str">
        <f aca="false">IF(V272="inf","False","True")</f>
        <v>True</v>
      </c>
      <c r="V272" s="4" t="n">
        <v>393229.84</v>
      </c>
      <c r="W272" s="4" t="n">
        <v>139707.63</v>
      </c>
      <c r="X272" s="0" t="n">
        <v>13.72</v>
      </c>
      <c r="Y272" s="5" t="n">
        <f aca="false">V272-L272</f>
        <v>391491.84</v>
      </c>
      <c r="Z272" s="6" t="n">
        <f aca="false">Y272/L272</f>
        <v>225.254223245109</v>
      </c>
      <c r="AA272" s="3" t="n">
        <f aca="false">X272-P272</f>
        <v>6.3</v>
      </c>
      <c r="AB272" s="6" t="n">
        <f aca="false">AA272/P272</f>
        <v>0.849056603773585</v>
      </c>
    </row>
    <row r="273" customFormat="false" ht="12.75" hidden="false" customHeight="false" outlineLevel="0" collapsed="false">
      <c r="A273" s="0" t="s">
        <v>326</v>
      </c>
      <c r="B273" s="0" t="n">
        <v>1</v>
      </c>
      <c r="C273" s="0" t="s">
        <v>31</v>
      </c>
      <c r="D273" s="0" t="s">
        <v>31</v>
      </c>
      <c r="E273" s="0" t="n">
        <v>1166</v>
      </c>
      <c r="F273" s="0" t="n">
        <v>1825</v>
      </c>
      <c r="G273" s="0" t="n">
        <v>10</v>
      </c>
      <c r="H273" s="0" t="n">
        <v>6</v>
      </c>
      <c r="I273" s="0" t="n">
        <v>6</v>
      </c>
      <c r="J273" s="0" t="n">
        <v>8</v>
      </c>
      <c r="K273" s="0" t="n">
        <v>0.7</v>
      </c>
      <c r="L273" s="1" t="n">
        <v>1825</v>
      </c>
      <c r="M273" s="0" t="n">
        <v>0</v>
      </c>
      <c r="N273" s="0" t="n">
        <v>1825</v>
      </c>
      <c r="O273" s="0" t="n">
        <v>148261</v>
      </c>
      <c r="P273" s="1" t="n">
        <v>9.46</v>
      </c>
      <c r="Q273" s="0" t="n">
        <v>0</v>
      </c>
      <c r="R273" s="0" t="n">
        <v>2</v>
      </c>
      <c r="S273" s="0" t="s">
        <v>42</v>
      </c>
      <c r="T273" s="0" t="str">
        <f aca="false">IF(L273="inf","False","True")</f>
        <v>True</v>
      </c>
      <c r="U273" s="0" t="str">
        <f aca="false">IF(V273="inf","False","True")</f>
        <v>True</v>
      </c>
      <c r="V273" s="4" t="n">
        <v>119091.27</v>
      </c>
      <c r="W273" s="4" t="n">
        <v>143878.5</v>
      </c>
      <c r="X273" s="0" t="n">
        <v>196.35</v>
      </c>
      <c r="Y273" s="5" t="n">
        <f aca="false">V273-L273</f>
        <v>117266.27</v>
      </c>
      <c r="Z273" s="6" t="n">
        <f aca="false">Y273/L273</f>
        <v>64.2554904109589</v>
      </c>
      <c r="AA273" s="3" t="n">
        <f aca="false">X273-P273</f>
        <v>186.89</v>
      </c>
      <c r="AB273" s="6" t="n">
        <f aca="false">AA273/P273</f>
        <v>19.7558139534884</v>
      </c>
    </row>
    <row r="274" customFormat="false" ht="12.75" hidden="false" customHeight="false" outlineLevel="0" collapsed="false">
      <c r="A274" s="0" t="s">
        <v>327</v>
      </c>
      <c r="B274" s="0" t="n">
        <v>2</v>
      </c>
      <c r="C274" s="0" t="s">
        <v>31</v>
      </c>
      <c r="D274" s="0" t="s">
        <v>31</v>
      </c>
      <c r="E274" s="0" t="n">
        <v>1166</v>
      </c>
      <c r="F274" s="0" t="n">
        <v>1706</v>
      </c>
      <c r="G274" s="0" t="n">
        <v>10</v>
      </c>
      <c r="H274" s="0" t="n">
        <v>6</v>
      </c>
      <c r="I274" s="0" t="n">
        <v>6</v>
      </c>
      <c r="J274" s="0" t="n">
        <v>8</v>
      </c>
      <c r="K274" s="0" t="n">
        <v>0.7</v>
      </c>
      <c r="L274" s="1" t="n">
        <v>1706</v>
      </c>
      <c r="M274" s="0" t="n">
        <v>0</v>
      </c>
      <c r="N274" s="0" t="n">
        <v>1706</v>
      </c>
      <c r="O274" s="0" t="n">
        <v>130670</v>
      </c>
      <c r="P274" s="1" t="n">
        <v>8.72</v>
      </c>
      <c r="Q274" s="0" t="n">
        <v>0</v>
      </c>
      <c r="R274" s="0" t="n">
        <v>1</v>
      </c>
      <c r="S274" s="0" t="s">
        <v>42</v>
      </c>
      <c r="T274" s="0" t="str">
        <f aca="false">IF(L274="inf","False","True")</f>
        <v>True</v>
      </c>
      <c r="U274" s="0" t="str">
        <f aca="false">IF(V274="inf","False","True")</f>
        <v>True</v>
      </c>
      <c r="V274" s="4" t="n">
        <v>310643.06</v>
      </c>
      <c r="W274" s="4" t="n">
        <v>115761.73</v>
      </c>
      <c r="X274" s="0" t="n">
        <v>59.72</v>
      </c>
      <c r="Y274" s="5" t="n">
        <f aca="false">V274-L274</f>
        <v>308937.06</v>
      </c>
      <c r="Z274" s="6" t="n">
        <f aca="false">Y274/L274</f>
        <v>181.088546307151</v>
      </c>
      <c r="AA274" s="3" t="n">
        <f aca="false">X274-P274</f>
        <v>51</v>
      </c>
      <c r="AB274" s="6" t="n">
        <f aca="false">AA274/P274</f>
        <v>5.84862385321101</v>
      </c>
    </row>
    <row r="275" customFormat="false" ht="12.75" hidden="false" customHeight="false" outlineLevel="0" collapsed="false">
      <c r="A275" s="0" t="s">
        <v>328</v>
      </c>
      <c r="B275" s="0" t="n">
        <v>3</v>
      </c>
      <c r="C275" s="0" t="s">
        <v>31</v>
      </c>
      <c r="D275" s="0" t="s">
        <v>31</v>
      </c>
      <c r="E275" s="0" t="n">
        <v>1166</v>
      </c>
      <c r="F275" s="0" t="n">
        <v>1659</v>
      </c>
      <c r="G275" s="0" t="n">
        <v>10</v>
      </c>
      <c r="H275" s="0" t="n">
        <v>6</v>
      </c>
      <c r="I275" s="0" t="n">
        <v>6</v>
      </c>
      <c r="J275" s="0" t="n">
        <v>8</v>
      </c>
      <c r="K275" s="0" t="n">
        <v>0.7</v>
      </c>
      <c r="L275" s="1" t="n">
        <v>300329.15</v>
      </c>
      <c r="M275" s="0" t="n">
        <v>298818.18</v>
      </c>
      <c r="N275" s="0" t="n">
        <v>1510.97</v>
      </c>
      <c r="O275" s="0" t="n">
        <v>116205.57</v>
      </c>
      <c r="P275" s="1" t="n">
        <v>443.44</v>
      </c>
      <c r="Q275" s="0" t="n">
        <v>0.01</v>
      </c>
      <c r="R275" s="0" t="n">
        <v>4</v>
      </c>
      <c r="S275" s="0" t="s">
        <v>329</v>
      </c>
      <c r="T275" s="0" t="str">
        <f aca="false">IF(L275="inf","False","True")</f>
        <v>True</v>
      </c>
      <c r="U275" s="0" t="str">
        <f aca="false">IF(V275="inf","False","True")</f>
        <v>True</v>
      </c>
      <c r="V275" s="4" t="n">
        <v>172528.71</v>
      </c>
      <c r="W275" s="4" t="n">
        <v>118247.28</v>
      </c>
      <c r="X275" s="0" t="n">
        <v>172.57</v>
      </c>
      <c r="Y275" s="5" t="n">
        <f aca="false">V275-L275</f>
        <v>-127800.44</v>
      </c>
      <c r="Z275" s="6" t="n">
        <f aca="false">Y275/L275</f>
        <v>-0.425534584305253</v>
      </c>
      <c r="AA275" s="3" t="n">
        <f aca="false">X275-P275</f>
        <v>-270.87</v>
      </c>
      <c r="AB275" s="6" t="n">
        <f aca="false">AA275/P275</f>
        <v>-0.610837993866138</v>
      </c>
    </row>
    <row r="276" customFormat="false" ht="12.75" hidden="false" customHeight="false" outlineLevel="0" collapsed="false">
      <c r="A276" s="0" t="s">
        <v>330</v>
      </c>
      <c r="B276" s="0" t="n">
        <v>4</v>
      </c>
      <c r="C276" s="0" t="s">
        <v>31</v>
      </c>
      <c r="D276" s="0" t="s">
        <v>31</v>
      </c>
      <c r="E276" s="0" t="n">
        <v>1166</v>
      </c>
      <c r="F276" s="0" t="n">
        <v>1771</v>
      </c>
      <c r="G276" s="0" t="n">
        <v>10</v>
      </c>
      <c r="H276" s="0" t="n">
        <v>6</v>
      </c>
      <c r="I276" s="0" t="n">
        <v>6</v>
      </c>
      <c r="J276" s="0" t="n">
        <v>8</v>
      </c>
      <c r="K276" s="0" t="n">
        <v>0.7</v>
      </c>
      <c r="L276" s="1" t="n">
        <v>1771</v>
      </c>
      <c r="M276" s="0" t="n">
        <v>0</v>
      </c>
      <c r="N276" s="0" t="n">
        <v>1771</v>
      </c>
      <c r="O276" s="0" t="n">
        <v>138114</v>
      </c>
      <c r="P276" s="1" t="n">
        <v>7.38</v>
      </c>
      <c r="Q276" s="0" t="n">
        <v>0</v>
      </c>
      <c r="R276" s="0" t="n">
        <v>1</v>
      </c>
      <c r="S276" s="0" t="s">
        <v>42</v>
      </c>
      <c r="T276" s="0" t="str">
        <f aca="false">IF(L276="inf","False","True")</f>
        <v>True</v>
      </c>
      <c r="U276" s="0" t="str">
        <f aca="false">IF(V276="inf","False","True")</f>
        <v>True</v>
      </c>
      <c r="V276" s="4" t="n">
        <v>237036.9</v>
      </c>
      <c r="W276" s="4" t="n">
        <v>138937.76</v>
      </c>
      <c r="X276" s="0" t="n">
        <v>154.45</v>
      </c>
      <c r="Y276" s="5" t="n">
        <f aca="false">V276-L276</f>
        <v>235265.9</v>
      </c>
      <c r="Z276" s="6" t="n">
        <f aca="false">Y276/L276</f>
        <v>132.843534726143</v>
      </c>
      <c r="AA276" s="3" t="n">
        <f aca="false">X276-P276</f>
        <v>147.07</v>
      </c>
      <c r="AB276" s="6" t="n">
        <f aca="false">AA276/P276</f>
        <v>19.9281842818428</v>
      </c>
    </row>
    <row r="277" customFormat="false" ht="12.75" hidden="false" customHeight="false" outlineLevel="0" collapsed="false">
      <c r="A277" s="0" t="s">
        <v>331</v>
      </c>
      <c r="B277" s="0" t="n">
        <v>0</v>
      </c>
      <c r="C277" s="0" t="s">
        <v>31</v>
      </c>
      <c r="D277" s="0" t="s">
        <v>31</v>
      </c>
      <c r="E277" s="0" t="n">
        <v>1666</v>
      </c>
      <c r="F277" s="0" t="n">
        <v>2486</v>
      </c>
      <c r="G277" s="0" t="n">
        <v>10</v>
      </c>
      <c r="H277" s="0" t="n">
        <v>6</v>
      </c>
      <c r="I277" s="0" t="n">
        <v>6</v>
      </c>
      <c r="J277" s="0" t="n">
        <v>8</v>
      </c>
      <c r="K277" s="0" t="n">
        <v>0.7</v>
      </c>
      <c r="L277" s="1" t="n">
        <v>2486</v>
      </c>
      <c r="M277" s="0" t="n">
        <v>0</v>
      </c>
      <c r="N277" s="0" t="n">
        <v>2486</v>
      </c>
      <c r="O277" s="0" t="n">
        <v>212230</v>
      </c>
      <c r="P277" s="1" t="n">
        <v>6.42</v>
      </c>
      <c r="Q277" s="0" t="n">
        <v>0</v>
      </c>
      <c r="R277" s="0" t="n">
        <v>1</v>
      </c>
      <c r="S277" s="0" t="s">
        <v>42</v>
      </c>
      <c r="T277" s="0" t="str">
        <f aca="false">IF(L277="inf","False","True")</f>
        <v>True</v>
      </c>
      <c r="U277" s="0" t="str">
        <f aca="false">IF(V277="inf","False","True")</f>
        <v>False</v>
      </c>
      <c r="V277" s="4" t="s">
        <v>37</v>
      </c>
      <c r="W277" s="4" t="s">
        <v>37</v>
      </c>
      <c r="X277" s="0" t="n">
        <v>20.33</v>
      </c>
      <c r="Y277" s="5" t="e">
        <f aca="false">V277-L277</f>
        <v>#VALUE!</v>
      </c>
      <c r="Z277" s="6" t="e">
        <f aca="false">Y277/L277</f>
        <v>#VALUE!</v>
      </c>
      <c r="AA277" s="3" t="n">
        <f aca="false">X277-P277</f>
        <v>13.91</v>
      </c>
      <c r="AB277" s="6" t="n">
        <f aca="false">AA277/P277</f>
        <v>2.16666666666667</v>
      </c>
    </row>
    <row r="278" customFormat="false" ht="12.75" hidden="false" customHeight="false" outlineLevel="0" collapsed="false">
      <c r="A278" s="0" t="s">
        <v>332</v>
      </c>
      <c r="B278" s="0" t="n">
        <v>1</v>
      </c>
      <c r="C278" s="0" t="s">
        <v>31</v>
      </c>
      <c r="D278" s="0" t="s">
        <v>31</v>
      </c>
      <c r="E278" s="0" t="n">
        <v>1666</v>
      </c>
      <c r="F278" s="0" t="n">
        <v>2610</v>
      </c>
      <c r="G278" s="0" t="n">
        <v>10</v>
      </c>
      <c r="H278" s="0" t="n">
        <v>6</v>
      </c>
      <c r="I278" s="0" t="n">
        <v>6</v>
      </c>
      <c r="J278" s="0" t="n">
        <v>8</v>
      </c>
      <c r="K278" s="0" t="n">
        <v>0.7</v>
      </c>
      <c r="L278" s="1" t="n">
        <v>2610</v>
      </c>
      <c r="M278" s="0" t="n">
        <v>0</v>
      </c>
      <c r="N278" s="0" t="n">
        <v>2610</v>
      </c>
      <c r="O278" s="0" t="n">
        <v>211667</v>
      </c>
      <c r="P278" s="1" t="n">
        <v>7.88</v>
      </c>
      <c r="Q278" s="0" t="n">
        <v>0</v>
      </c>
      <c r="R278" s="0" t="n">
        <v>1</v>
      </c>
      <c r="S278" s="0" t="s">
        <v>42</v>
      </c>
      <c r="T278" s="0" t="str">
        <f aca="false">IF(L278="inf","False","True")</f>
        <v>True</v>
      </c>
      <c r="U278" s="0" t="str">
        <f aca="false">IF(V278="inf","False","True")</f>
        <v>True</v>
      </c>
      <c r="V278" s="4" t="n">
        <v>451848.1</v>
      </c>
      <c r="W278" s="4" t="n">
        <v>191460.53</v>
      </c>
      <c r="X278" s="0" t="n">
        <v>63.53</v>
      </c>
      <c r="Y278" s="5" t="n">
        <f aca="false">V278-L278</f>
        <v>449238.1</v>
      </c>
      <c r="Z278" s="6" t="n">
        <f aca="false">Y278/L278</f>
        <v>172.121877394636</v>
      </c>
      <c r="AA278" s="3" t="n">
        <f aca="false">X278-P278</f>
        <v>55.65</v>
      </c>
      <c r="AB278" s="6" t="n">
        <f aca="false">AA278/P278</f>
        <v>7.06218274111675</v>
      </c>
    </row>
    <row r="279" customFormat="false" ht="12.75" hidden="false" customHeight="false" outlineLevel="0" collapsed="false">
      <c r="A279" s="0" t="s">
        <v>333</v>
      </c>
      <c r="B279" s="0" t="n">
        <v>2</v>
      </c>
      <c r="C279" s="0" t="s">
        <v>31</v>
      </c>
      <c r="D279" s="0" t="s">
        <v>31</v>
      </c>
      <c r="E279" s="0" t="n">
        <v>1666</v>
      </c>
      <c r="F279" s="0" t="n">
        <v>2440</v>
      </c>
      <c r="G279" s="0" t="n">
        <v>10</v>
      </c>
      <c r="H279" s="0" t="n">
        <v>6</v>
      </c>
      <c r="I279" s="0" t="n">
        <v>6</v>
      </c>
      <c r="J279" s="0" t="n">
        <v>8</v>
      </c>
      <c r="K279" s="0" t="n">
        <v>0.7</v>
      </c>
      <c r="L279" s="1" t="n">
        <v>2440</v>
      </c>
      <c r="M279" s="0" t="n">
        <v>0</v>
      </c>
      <c r="N279" s="0" t="n">
        <v>2440</v>
      </c>
      <c r="O279" s="0" t="n">
        <v>186576</v>
      </c>
      <c r="P279" s="1" t="n">
        <v>7.39</v>
      </c>
      <c r="Q279" s="0" t="n">
        <v>0</v>
      </c>
      <c r="R279" s="0" t="n">
        <v>1</v>
      </c>
      <c r="S279" s="0" t="s">
        <v>42</v>
      </c>
      <c r="T279" s="0" t="str">
        <f aca="false">IF(L279="inf","False","True")</f>
        <v>True</v>
      </c>
      <c r="U279" s="0" t="str">
        <f aca="false">IF(V279="inf","False","True")</f>
        <v>True</v>
      </c>
      <c r="V279" s="4" t="n">
        <v>420179.73</v>
      </c>
      <c r="W279" s="4" t="n">
        <v>167179.59</v>
      </c>
      <c r="X279" s="0" t="n">
        <v>129.56</v>
      </c>
      <c r="Y279" s="5" t="n">
        <f aca="false">V279-L279</f>
        <v>417739.73</v>
      </c>
      <c r="Z279" s="6" t="n">
        <f aca="false">Y279/L279</f>
        <v>171.204807377049</v>
      </c>
      <c r="AA279" s="3" t="n">
        <f aca="false">X279-P279</f>
        <v>122.17</v>
      </c>
      <c r="AB279" s="6" t="n">
        <f aca="false">AA279/P279</f>
        <v>16.531799729364</v>
      </c>
    </row>
    <row r="280" customFormat="false" ht="12.75" hidden="false" customHeight="false" outlineLevel="0" collapsed="false">
      <c r="A280" s="0" t="s">
        <v>334</v>
      </c>
      <c r="B280" s="0" t="n">
        <v>3</v>
      </c>
      <c r="C280" s="0" t="s">
        <v>31</v>
      </c>
      <c r="D280" s="0" t="s">
        <v>31</v>
      </c>
      <c r="E280" s="0" t="n">
        <v>1666</v>
      </c>
      <c r="F280" s="0" t="n">
        <v>2373</v>
      </c>
      <c r="G280" s="0" t="n">
        <v>10</v>
      </c>
      <c r="H280" s="0" t="n">
        <v>6</v>
      </c>
      <c r="I280" s="0" t="n">
        <v>6</v>
      </c>
      <c r="J280" s="0" t="n">
        <v>8</v>
      </c>
      <c r="K280" s="0" t="n">
        <v>0.7</v>
      </c>
      <c r="L280" s="1" t="n">
        <v>382681.03</v>
      </c>
      <c r="M280" s="0" t="n">
        <v>380414.83</v>
      </c>
      <c r="N280" s="0" t="n">
        <v>2266.2</v>
      </c>
      <c r="O280" s="0" t="n">
        <v>166000.38</v>
      </c>
      <c r="P280" s="1" t="n">
        <v>609.5</v>
      </c>
      <c r="Q280" s="0" t="n">
        <v>0.13</v>
      </c>
      <c r="R280" s="0" t="n">
        <v>5</v>
      </c>
      <c r="S280" s="0" t="s">
        <v>335</v>
      </c>
      <c r="T280" s="0" t="str">
        <f aca="false">IF(L280="inf","False","True")</f>
        <v>True</v>
      </c>
      <c r="U280" s="0" t="str">
        <f aca="false">IF(V280="inf","False","True")</f>
        <v>True</v>
      </c>
      <c r="V280" s="4" t="n">
        <v>408951.68</v>
      </c>
      <c r="W280" s="4" t="n">
        <v>165740</v>
      </c>
      <c r="X280" s="0" t="n">
        <v>225.28</v>
      </c>
      <c r="Y280" s="5" t="n">
        <f aca="false">V280-L280</f>
        <v>26270.65</v>
      </c>
      <c r="Z280" s="6" t="n">
        <f aca="false">Y280/L280</f>
        <v>0.0686489476627571</v>
      </c>
      <c r="AA280" s="3" t="n">
        <f aca="false">X280-P280</f>
        <v>-384.22</v>
      </c>
      <c r="AB280" s="6" t="n">
        <f aca="false">AA280/P280</f>
        <v>-0.630385561936013</v>
      </c>
    </row>
    <row r="281" customFormat="false" ht="12.75" hidden="false" customHeight="false" outlineLevel="0" collapsed="false">
      <c r="A281" s="0" t="s">
        <v>336</v>
      </c>
      <c r="B281" s="0" t="n">
        <v>4</v>
      </c>
      <c r="C281" s="0" t="s">
        <v>31</v>
      </c>
      <c r="D281" s="0" t="s">
        <v>31</v>
      </c>
      <c r="E281" s="0" t="n">
        <v>1666</v>
      </c>
      <c r="F281" s="0" t="n">
        <v>2532</v>
      </c>
      <c r="G281" s="0" t="n">
        <v>10</v>
      </c>
      <c r="H281" s="0" t="n">
        <v>6</v>
      </c>
      <c r="I281" s="0" t="n">
        <v>6</v>
      </c>
      <c r="J281" s="0" t="n">
        <v>8</v>
      </c>
      <c r="K281" s="0" t="n">
        <v>0.7</v>
      </c>
      <c r="L281" s="1" t="n">
        <v>2532</v>
      </c>
      <c r="M281" s="0" t="n">
        <v>0</v>
      </c>
      <c r="N281" s="0" t="n">
        <v>2532</v>
      </c>
      <c r="O281" s="0" t="n">
        <v>197122</v>
      </c>
      <c r="P281" s="1" t="n">
        <v>6.66</v>
      </c>
      <c r="Q281" s="0" t="n">
        <v>0</v>
      </c>
      <c r="R281" s="0" t="n">
        <v>1</v>
      </c>
      <c r="S281" s="0" t="s">
        <v>42</v>
      </c>
      <c r="T281" s="0" t="str">
        <f aca="false">IF(L281="inf","False","True")</f>
        <v>True</v>
      </c>
      <c r="U281" s="0" t="str">
        <f aca="false">IF(V281="inf","False","True")</f>
        <v>True</v>
      </c>
      <c r="V281" s="4" t="n">
        <v>343523.61</v>
      </c>
      <c r="W281" s="4" t="n">
        <v>183203.8</v>
      </c>
      <c r="X281" s="0" t="n">
        <v>137.87</v>
      </c>
      <c r="Y281" s="5" t="n">
        <f aca="false">V281-L281</f>
        <v>340991.61</v>
      </c>
      <c r="Z281" s="6" t="n">
        <f aca="false">Y281/L281</f>
        <v>134.672831753555</v>
      </c>
      <c r="AA281" s="3" t="n">
        <f aca="false">X281-P281</f>
        <v>131.21</v>
      </c>
      <c r="AB281" s="6" t="n">
        <f aca="false">AA281/P281</f>
        <v>19.7012012012012</v>
      </c>
    </row>
    <row r="282" customFormat="false" ht="12.75" hidden="false" customHeight="false" outlineLevel="0" collapsed="false">
      <c r="A282" s="0" t="s">
        <v>337</v>
      </c>
      <c r="B282" s="0" t="n">
        <v>0</v>
      </c>
      <c r="C282" s="0" t="s">
        <v>31</v>
      </c>
      <c r="D282" s="0" t="s">
        <v>31</v>
      </c>
      <c r="E282" s="0" t="n">
        <v>500</v>
      </c>
      <c r="F282" s="0" t="n">
        <v>792</v>
      </c>
      <c r="G282" s="0" t="n">
        <v>10</v>
      </c>
      <c r="H282" s="0" t="n">
        <v>6</v>
      </c>
      <c r="I282" s="0" t="n">
        <v>6</v>
      </c>
      <c r="J282" s="0" t="n">
        <v>12</v>
      </c>
      <c r="K282" s="0" t="n">
        <v>0.7</v>
      </c>
      <c r="L282" s="1" t="n">
        <v>792</v>
      </c>
      <c r="M282" s="0" t="n">
        <v>0</v>
      </c>
      <c r="N282" s="0" t="n">
        <v>792</v>
      </c>
      <c r="O282" s="0" t="n">
        <v>59496</v>
      </c>
      <c r="P282" s="1" t="n">
        <v>15.89</v>
      </c>
      <c r="Q282" s="0" t="n">
        <v>0</v>
      </c>
      <c r="R282" s="0" t="n">
        <v>2</v>
      </c>
      <c r="S282" s="0" t="s">
        <v>42</v>
      </c>
      <c r="T282" s="0" t="str">
        <f aca="false">IF(L282="inf","False","True")</f>
        <v>True</v>
      </c>
      <c r="U282" s="0" t="str">
        <f aca="false">IF(V282="inf","False","True")</f>
        <v>True</v>
      </c>
      <c r="V282" s="4" t="n">
        <v>93257.57</v>
      </c>
      <c r="W282" s="4" t="n">
        <v>54369.98</v>
      </c>
      <c r="X282" s="0" t="n">
        <v>405.32</v>
      </c>
      <c r="Y282" s="5" t="n">
        <f aca="false">V282-L282</f>
        <v>92465.57</v>
      </c>
      <c r="Z282" s="6" t="n">
        <f aca="false">Y282/L282</f>
        <v>116.749457070707</v>
      </c>
      <c r="AA282" s="3" t="n">
        <f aca="false">X282-P282</f>
        <v>389.43</v>
      </c>
      <c r="AB282" s="6" t="n">
        <f aca="false">AA282/P282</f>
        <v>24.5078665827565</v>
      </c>
    </row>
    <row r="283" customFormat="false" ht="12.75" hidden="false" customHeight="false" outlineLevel="0" collapsed="false">
      <c r="A283" s="0" t="s">
        <v>338</v>
      </c>
      <c r="B283" s="0" t="n">
        <v>1</v>
      </c>
      <c r="C283" s="0" t="s">
        <v>31</v>
      </c>
      <c r="D283" s="0" t="s">
        <v>31</v>
      </c>
      <c r="E283" s="0" t="n">
        <v>500</v>
      </c>
      <c r="F283" s="0" t="n">
        <v>793</v>
      </c>
      <c r="G283" s="0" t="n">
        <v>10</v>
      </c>
      <c r="H283" s="0" t="n">
        <v>6</v>
      </c>
      <c r="I283" s="0" t="n">
        <v>6</v>
      </c>
      <c r="J283" s="0" t="n">
        <v>12</v>
      </c>
      <c r="K283" s="0" t="n">
        <v>0.7</v>
      </c>
      <c r="L283" s="1" t="n">
        <v>793</v>
      </c>
      <c r="M283" s="0" t="n">
        <v>0</v>
      </c>
      <c r="N283" s="0" t="n">
        <v>793</v>
      </c>
      <c r="O283" s="0" t="n">
        <v>57584</v>
      </c>
      <c r="P283" s="1" t="n">
        <v>12.46</v>
      </c>
      <c r="Q283" s="0" t="n">
        <v>0</v>
      </c>
      <c r="R283" s="0" t="n">
        <v>1</v>
      </c>
      <c r="S283" s="0" t="s">
        <v>42</v>
      </c>
      <c r="T283" s="0" t="str">
        <f aca="false">IF(L283="inf","False","True")</f>
        <v>True</v>
      </c>
      <c r="U283" s="0" t="str">
        <f aca="false">IF(V283="inf","False","True")</f>
        <v>True</v>
      </c>
      <c r="V283" s="4" t="n">
        <v>52787.89</v>
      </c>
      <c r="W283" s="4" t="n">
        <v>55541.32</v>
      </c>
      <c r="X283" s="0" t="n">
        <v>150.51</v>
      </c>
      <c r="Y283" s="5" t="n">
        <f aca="false">V283-L283</f>
        <v>51994.89</v>
      </c>
      <c r="Z283" s="6" t="n">
        <f aca="false">Y283/L283</f>
        <v>65.5673266078184</v>
      </c>
      <c r="AA283" s="3" t="n">
        <f aca="false">X283-P283</f>
        <v>138.05</v>
      </c>
      <c r="AB283" s="6" t="n">
        <f aca="false">AA283/P283</f>
        <v>11.0794542536116</v>
      </c>
    </row>
    <row r="284" customFormat="false" ht="12.75" hidden="false" customHeight="false" outlineLevel="0" collapsed="false">
      <c r="A284" s="0" t="s">
        <v>339</v>
      </c>
      <c r="B284" s="0" t="n">
        <v>2</v>
      </c>
      <c r="C284" s="0" t="s">
        <v>31</v>
      </c>
      <c r="D284" s="0" t="s">
        <v>31</v>
      </c>
      <c r="E284" s="0" t="n">
        <v>500</v>
      </c>
      <c r="F284" s="0" t="n">
        <v>774</v>
      </c>
      <c r="G284" s="0" t="n">
        <v>10</v>
      </c>
      <c r="H284" s="0" t="n">
        <v>6</v>
      </c>
      <c r="I284" s="0" t="n">
        <v>6</v>
      </c>
      <c r="J284" s="0" t="n">
        <v>12</v>
      </c>
      <c r="K284" s="0" t="n">
        <v>0.7</v>
      </c>
      <c r="L284" s="1" t="n">
        <v>774</v>
      </c>
      <c r="M284" s="0" t="n">
        <v>0</v>
      </c>
      <c r="N284" s="0" t="n">
        <v>774</v>
      </c>
      <c r="O284" s="0" t="n">
        <v>63926</v>
      </c>
      <c r="P284" s="1" t="n">
        <v>8.16</v>
      </c>
      <c r="Q284" s="0" t="n">
        <v>0</v>
      </c>
      <c r="R284" s="0" t="n">
        <v>1</v>
      </c>
      <c r="S284" s="0" t="s">
        <v>42</v>
      </c>
      <c r="T284" s="0" t="str">
        <f aca="false">IF(L284="inf","False","True")</f>
        <v>True</v>
      </c>
      <c r="U284" s="0" t="str">
        <f aca="false">IF(V284="inf","False","True")</f>
        <v>True</v>
      </c>
      <c r="V284" s="4" t="n">
        <v>219688.98</v>
      </c>
      <c r="W284" s="4" t="n">
        <v>50050.82</v>
      </c>
      <c r="X284" s="0" t="n">
        <v>2.18</v>
      </c>
      <c r="Y284" s="5" t="n">
        <f aca="false">V284-L284</f>
        <v>218914.98</v>
      </c>
      <c r="Z284" s="6" t="n">
        <f aca="false">Y284/L284</f>
        <v>282.835891472868</v>
      </c>
      <c r="AA284" s="3" t="n">
        <f aca="false">X284-P284</f>
        <v>-5.98</v>
      </c>
      <c r="AB284" s="6" t="n">
        <f aca="false">AA284/P284</f>
        <v>-0.732843137254902</v>
      </c>
    </row>
    <row r="285" customFormat="false" ht="12.75" hidden="false" customHeight="false" outlineLevel="0" collapsed="false">
      <c r="A285" s="0" t="s">
        <v>340</v>
      </c>
      <c r="B285" s="0" t="n">
        <v>3</v>
      </c>
      <c r="C285" s="0" t="s">
        <v>31</v>
      </c>
      <c r="D285" s="0" t="s">
        <v>31</v>
      </c>
      <c r="E285" s="0" t="n">
        <v>500</v>
      </c>
      <c r="F285" s="0" t="n">
        <v>782</v>
      </c>
      <c r="G285" s="0" t="n">
        <v>10</v>
      </c>
      <c r="H285" s="0" t="n">
        <v>6</v>
      </c>
      <c r="I285" s="0" t="n">
        <v>6</v>
      </c>
      <c r="J285" s="0" t="n">
        <v>12</v>
      </c>
      <c r="K285" s="0" t="n">
        <v>0.7</v>
      </c>
      <c r="L285" s="1" t="n">
        <v>117867.91</v>
      </c>
      <c r="M285" s="0" t="n">
        <v>117133.92</v>
      </c>
      <c r="N285" s="0" t="n">
        <v>733.99</v>
      </c>
      <c r="O285" s="0" t="n">
        <v>49292.65</v>
      </c>
      <c r="P285" s="1" t="n">
        <v>280.14</v>
      </c>
      <c r="Q285" s="0" t="n">
        <v>0</v>
      </c>
      <c r="R285" s="0" t="n">
        <v>5</v>
      </c>
      <c r="S285" s="0" t="s">
        <v>341</v>
      </c>
      <c r="T285" s="0" t="str">
        <f aca="false">IF(L285="inf","False","True")</f>
        <v>True</v>
      </c>
      <c r="U285" s="0" t="str">
        <f aca="false">IF(V285="inf","False","True")</f>
        <v>True</v>
      </c>
      <c r="V285" s="4" t="n">
        <v>132419.85</v>
      </c>
      <c r="W285" s="4" t="n">
        <v>50306.15</v>
      </c>
      <c r="X285" s="0" t="n">
        <v>44.38</v>
      </c>
      <c r="Y285" s="5" t="n">
        <f aca="false">V285-L285</f>
        <v>14551.94</v>
      </c>
      <c r="Z285" s="6" t="n">
        <f aca="false">Y285/L285</f>
        <v>0.123459727079236</v>
      </c>
      <c r="AA285" s="3" t="n">
        <f aca="false">X285-P285</f>
        <v>-235.76</v>
      </c>
      <c r="AB285" s="6" t="n">
        <f aca="false">AA285/P285</f>
        <v>-0.841579210394803</v>
      </c>
    </row>
    <row r="286" customFormat="false" ht="12.75" hidden="false" customHeight="false" outlineLevel="0" collapsed="false">
      <c r="A286" s="0" t="s">
        <v>342</v>
      </c>
      <c r="B286" s="0" t="n">
        <v>4</v>
      </c>
      <c r="C286" s="0" t="s">
        <v>31</v>
      </c>
      <c r="D286" s="0" t="s">
        <v>31</v>
      </c>
      <c r="E286" s="0" t="n">
        <v>500</v>
      </c>
      <c r="F286" s="0" t="n">
        <v>818</v>
      </c>
      <c r="G286" s="0" t="n">
        <v>10</v>
      </c>
      <c r="H286" s="0" t="n">
        <v>6</v>
      </c>
      <c r="I286" s="0" t="n">
        <v>6</v>
      </c>
      <c r="J286" s="0" t="n">
        <v>12</v>
      </c>
      <c r="K286" s="0" t="n">
        <v>0.7</v>
      </c>
      <c r="L286" s="1" t="n">
        <v>818</v>
      </c>
      <c r="M286" s="0" t="n">
        <v>0</v>
      </c>
      <c r="N286" s="0" t="n">
        <v>818</v>
      </c>
      <c r="O286" s="0" t="n">
        <v>54681</v>
      </c>
      <c r="P286" s="1" t="n">
        <v>8.14</v>
      </c>
      <c r="Q286" s="0" t="n">
        <v>0</v>
      </c>
      <c r="R286" s="0" t="n">
        <v>1</v>
      </c>
      <c r="S286" s="0" t="s">
        <v>42</v>
      </c>
      <c r="T286" s="0" t="str">
        <f aca="false">IF(L286="inf","False","True")</f>
        <v>True</v>
      </c>
      <c r="U286" s="0" t="str">
        <f aca="false">IF(V286="inf","False","True")</f>
        <v>True</v>
      </c>
      <c r="V286" s="4" t="n">
        <v>52610.71</v>
      </c>
      <c r="W286" s="4" t="n">
        <v>56478.09</v>
      </c>
      <c r="X286" s="0" t="n">
        <v>126.2</v>
      </c>
      <c r="Y286" s="5" t="n">
        <f aca="false">V286-L286</f>
        <v>51792.71</v>
      </c>
      <c r="Z286" s="6" t="n">
        <f aca="false">Y286/L286</f>
        <v>63.316271393643</v>
      </c>
      <c r="AA286" s="3" t="n">
        <f aca="false">X286-P286</f>
        <v>118.06</v>
      </c>
      <c r="AB286" s="6" t="n">
        <f aca="false">AA286/P286</f>
        <v>14.5036855036855</v>
      </c>
    </row>
    <row r="287" customFormat="false" ht="12.75" hidden="false" customHeight="false" outlineLevel="0" collapsed="false">
      <c r="A287" s="0" t="s">
        <v>343</v>
      </c>
      <c r="B287" s="0" t="n">
        <v>0</v>
      </c>
      <c r="C287" s="0" t="s">
        <v>31</v>
      </c>
      <c r="D287" s="0" t="s">
        <v>31</v>
      </c>
      <c r="E287" s="0" t="n">
        <v>833</v>
      </c>
      <c r="F287" s="0" t="n">
        <v>1319</v>
      </c>
      <c r="G287" s="0" t="n">
        <v>10</v>
      </c>
      <c r="H287" s="0" t="n">
        <v>6</v>
      </c>
      <c r="I287" s="0" t="n">
        <v>6</v>
      </c>
      <c r="J287" s="0" t="n">
        <v>12</v>
      </c>
      <c r="K287" s="0" t="n">
        <v>0.7</v>
      </c>
      <c r="L287" s="1" t="n">
        <v>1319</v>
      </c>
      <c r="M287" s="0" t="n">
        <v>0</v>
      </c>
      <c r="N287" s="0" t="n">
        <v>1319</v>
      </c>
      <c r="O287" s="0" t="n">
        <v>93815</v>
      </c>
      <c r="P287" s="1" t="n">
        <v>21.64</v>
      </c>
      <c r="Q287" s="0" t="n">
        <v>0</v>
      </c>
      <c r="R287" s="0" t="n">
        <v>1</v>
      </c>
      <c r="S287" s="0" t="s">
        <v>42</v>
      </c>
      <c r="T287" s="0" t="str">
        <f aca="false">IF(L287="inf","False","True")</f>
        <v>True</v>
      </c>
      <c r="U287" s="0" t="str">
        <f aca="false">IF(V287="inf","False","True")</f>
        <v>True</v>
      </c>
      <c r="V287" s="4" t="n">
        <v>168280.28</v>
      </c>
      <c r="W287" s="4" t="n">
        <v>92484.98</v>
      </c>
      <c r="X287" s="0" t="n">
        <v>250.5</v>
      </c>
      <c r="Y287" s="5" t="n">
        <f aca="false">V287-L287</f>
        <v>166961.28</v>
      </c>
      <c r="Z287" s="6" t="n">
        <f aca="false">Y287/L287</f>
        <v>126.581713419257</v>
      </c>
      <c r="AA287" s="3" t="n">
        <f aca="false">X287-P287</f>
        <v>228.86</v>
      </c>
      <c r="AB287" s="6" t="n">
        <f aca="false">AA287/P287</f>
        <v>10.5757855822551</v>
      </c>
    </row>
    <row r="288" customFormat="false" ht="12.75" hidden="false" customHeight="false" outlineLevel="0" collapsed="false">
      <c r="A288" s="0" t="s">
        <v>344</v>
      </c>
      <c r="B288" s="0" t="n">
        <v>1</v>
      </c>
      <c r="C288" s="0" t="s">
        <v>31</v>
      </c>
      <c r="D288" s="0" t="s">
        <v>31</v>
      </c>
      <c r="E288" s="0" t="n">
        <v>833</v>
      </c>
      <c r="F288" s="0" t="n">
        <v>1320</v>
      </c>
      <c r="G288" s="0" t="n">
        <v>10</v>
      </c>
      <c r="H288" s="0" t="n">
        <v>6</v>
      </c>
      <c r="I288" s="0" t="n">
        <v>6</v>
      </c>
      <c r="J288" s="0" t="n">
        <v>12</v>
      </c>
      <c r="K288" s="0" t="n">
        <v>0.7</v>
      </c>
      <c r="L288" s="1" t="n">
        <v>1320</v>
      </c>
      <c r="M288" s="0" t="n">
        <v>0</v>
      </c>
      <c r="N288" s="0" t="n">
        <v>1320</v>
      </c>
      <c r="O288" s="0" t="n">
        <v>95990</v>
      </c>
      <c r="P288" s="1" t="n">
        <v>17.62</v>
      </c>
      <c r="Q288" s="0" t="n">
        <v>0</v>
      </c>
      <c r="R288" s="0" t="n">
        <v>1</v>
      </c>
      <c r="S288" s="0" t="s">
        <v>42</v>
      </c>
      <c r="T288" s="0" t="str">
        <f aca="false">IF(L288="inf","False","True")</f>
        <v>True</v>
      </c>
      <c r="U288" s="0" t="str">
        <f aca="false">IF(V288="inf","False","True")</f>
        <v>True</v>
      </c>
      <c r="V288" s="4" t="n">
        <v>216082.03</v>
      </c>
      <c r="W288" s="4" t="n">
        <v>83669.8</v>
      </c>
      <c r="X288" s="0" t="n">
        <v>433.57</v>
      </c>
      <c r="Y288" s="5" t="n">
        <f aca="false">V288-L288</f>
        <v>214762.03</v>
      </c>
      <c r="Z288" s="6" t="n">
        <f aca="false">Y288/L288</f>
        <v>162.698507575758</v>
      </c>
      <c r="AA288" s="3" t="n">
        <f aca="false">X288-P288</f>
        <v>415.95</v>
      </c>
      <c r="AB288" s="6" t="n">
        <f aca="false">AA288/P288</f>
        <v>23.6066969353008</v>
      </c>
    </row>
    <row r="289" customFormat="false" ht="12.75" hidden="false" customHeight="false" outlineLevel="0" collapsed="false">
      <c r="A289" s="0" t="s">
        <v>345</v>
      </c>
      <c r="B289" s="0" t="n">
        <v>2</v>
      </c>
      <c r="C289" s="0" t="s">
        <v>31</v>
      </c>
      <c r="D289" s="0" t="s">
        <v>31</v>
      </c>
      <c r="E289" s="0" t="n">
        <v>833</v>
      </c>
      <c r="F289" s="0" t="n">
        <v>1290</v>
      </c>
      <c r="G289" s="0" t="n">
        <v>10</v>
      </c>
      <c r="H289" s="0" t="n">
        <v>6</v>
      </c>
      <c r="I289" s="0" t="n">
        <v>6</v>
      </c>
      <c r="J289" s="0" t="n">
        <v>12</v>
      </c>
      <c r="K289" s="0" t="n">
        <v>0.7</v>
      </c>
      <c r="L289" s="1" t="n">
        <v>1290</v>
      </c>
      <c r="M289" s="0" t="n">
        <v>0</v>
      </c>
      <c r="N289" s="0" t="n">
        <v>1290</v>
      </c>
      <c r="O289" s="0" t="n">
        <v>106538</v>
      </c>
      <c r="P289" s="1" t="n">
        <v>11.13</v>
      </c>
      <c r="Q289" s="0" t="n">
        <v>0</v>
      </c>
      <c r="R289" s="0" t="n">
        <v>6</v>
      </c>
      <c r="S289" s="0" t="s">
        <v>42</v>
      </c>
      <c r="T289" s="0" t="str">
        <f aca="false">IF(L289="inf","False","True")</f>
        <v>True</v>
      </c>
      <c r="U289" s="0" t="str">
        <f aca="false">IF(V289="inf","False","True")</f>
        <v>True</v>
      </c>
      <c r="V289" s="4" t="n">
        <v>199539.51</v>
      </c>
      <c r="W289" s="4" t="n">
        <v>86391.17</v>
      </c>
      <c r="X289" s="0" t="n">
        <v>2.79</v>
      </c>
      <c r="Y289" s="5" t="n">
        <f aca="false">V289-L289</f>
        <v>198249.51</v>
      </c>
      <c r="Z289" s="6" t="n">
        <f aca="false">Y289/L289</f>
        <v>153.681790697674</v>
      </c>
      <c r="AA289" s="3" t="n">
        <f aca="false">X289-P289</f>
        <v>-8.34</v>
      </c>
      <c r="AB289" s="6" t="n">
        <f aca="false">AA289/P289</f>
        <v>-0.749326145552561</v>
      </c>
    </row>
    <row r="290" customFormat="false" ht="12.75" hidden="false" customHeight="false" outlineLevel="0" collapsed="false">
      <c r="A290" s="0" t="s">
        <v>346</v>
      </c>
      <c r="B290" s="0" t="n">
        <v>3</v>
      </c>
      <c r="C290" s="0" t="s">
        <v>31</v>
      </c>
      <c r="D290" s="0" t="s">
        <v>31</v>
      </c>
      <c r="E290" s="0" t="n">
        <v>833</v>
      </c>
      <c r="F290" s="0" t="n">
        <v>1303</v>
      </c>
      <c r="G290" s="0" t="n">
        <v>10</v>
      </c>
      <c r="H290" s="0" t="n">
        <v>6</v>
      </c>
      <c r="I290" s="0" t="n">
        <v>6</v>
      </c>
      <c r="J290" s="0" t="n">
        <v>12</v>
      </c>
      <c r="K290" s="0" t="n">
        <v>0.7</v>
      </c>
      <c r="L290" s="1" t="n">
        <v>163816.14</v>
      </c>
      <c r="M290" s="0" t="n">
        <v>162539.37</v>
      </c>
      <c r="N290" s="0" t="n">
        <v>1276.77</v>
      </c>
      <c r="O290" s="0" t="n">
        <v>82230.19</v>
      </c>
      <c r="P290" s="1" t="n">
        <v>436.7</v>
      </c>
      <c r="Q290" s="0" t="n">
        <v>0.17</v>
      </c>
      <c r="R290" s="0" t="n">
        <v>1</v>
      </c>
      <c r="S290" s="0" t="s">
        <v>42</v>
      </c>
      <c r="T290" s="0" t="str">
        <f aca="false">IF(L290="inf","False","True")</f>
        <v>True</v>
      </c>
      <c r="U290" s="0" t="str">
        <f aca="false">IF(V290="inf","False","True")</f>
        <v>True</v>
      </c>
      <c r="V290" s="4" t="n">
        <v>78805.88</v>
      </c>
      <c r="W290" s="4" t="n">
        <v>84312.68</v>
      </c>
      <c r="X290" s="0" t="n">
        <v>249.5</v>
      </c>
      <c r="Y290" s="5" t="n">
        <f aca="false">V290-L290</f>
        <v>-85010.26</v>
      </c>
      <c r="Z290" s="6" t="n">
        <f aca="false">Y290/L290</f>
        <v>-0.518937022933149</v>
      </c>
      <c r="AA290" s="3" t="n">
        <f aca="false">X290-P290</f>
        <v>-187.2</v>
      </c>
      <c r="AB290" s="6" t="n">
        <f aca="false">AA290/P290</f>
        <v>-0.42866956720861</v>
      </c>
    </row>
    <row r="291" customFormat="false" ht="12.75" hidden="false" customHeight="false" outlineLevel="0" collapsed="false">
      <c r="A291" s="0" t="s">
        <v>347</v>
      </c>
      <c r="B291" s="0" t="n">
        <v>4</v>
      </c>
      <c r="C291" s="0" t="s">
        <v>31</v>
      </c>
      <c r="D291" s="0" t="s">
        <v>31</v>
      </c>
      <c r="E291" s="0" t="n">
        <v>833</v>
      </c>
      <c r="F291" s="0" t="n">
        <v>1362</v>
      </c>
      <c r="G291" s="0" t="n">
        <v>10</v>
      </c>
      <c r="H291" s="0" t="n">
        <v>6</v>
      </c>
      <c r="I291" s="0" t="n">
        <v>6</v>
      </c>
      <c r="J291" s="0" t="n">
        <v>12</v>
      </c>
      <c r="K291" s="0" t="n">
        <v>0.7</v>
      </c>
      <c r="L291" s="1" t="n">
        <v>1362</v>
      </c>
      <c r="M291" s="0" t="n">
        <v>0</v>
      </c>
      <c r="N291" s="0" t="n">
        <v>1362</v>
      </c>
      <c r="O291" s="0" t="n">
        <v>91139</v>
      </c>
      <c r="P291" s="1" t="n">
        <v>9.03</v>
      </c>
      <c r="Q291" s="0" t="n">
        <v>0</v>
      </c>
      <c r="R291" s="0" t="n">
        <v>1</v>
      </c>
      <c r="S291" s="0" t="s">
        <v>42</v>
      </c>
      <c r="T291" s="0" t="str">
        <f aca="false">IF(L291="inf","False","True")</f>
        <v>True</v>
      </c>
      <c r="U291" s="0" t="str">
        <f aca="false">IF(V291="inf","False","True")</f>
        <v>True</v>
      </c>
      <c r="V291" s="4" t="n">
        <v>42616.19</v>
      </c>
      <c r="W291" s="4" t="n">
        <v>100889.79</v>
      </c>
      <c r="X291" s="0" t="n">
        <v>136.59</v>
      </c>
      <c r="Y291" s="5" t="n">
        <f aca="false">V291-L291</f>
        <v>41254.19</v>
      </c>
      <c r="Z291" s="6" t="n">
        <f aca="false">Y291/L291</f>
        <v>30.2894199706314</v>
      </c>
      <c r="AA291" s="3" t="n">
        <f aca="false">X291-P291</f>
        <v>127.56</v>
      </c>
      <c r="AB291" s="6" t="n">
        <f aca="false">AA291/P291</f>
        <v>14.1262458471761</v>
      </c>
    </row>
    <row r="292" customFormat="false" ht="12.75" hidden="false" customHeight="false" outlineLevel="0" collapsed="false">
      <c r="A292" s="0" t="s">
        <v>348</v>
      </c>
      <c r="B292" s="0" t="n">
        <v>0</v>
      </c>
      <c r="C292" s="0" t="s">
        <v>31</v>
      </c>
      <c r="D292" s="0" t="s">
        <v>31</v>
      </c>
      <c r="E292" s="0" t="n">
        <v>1166</v>
      </c>
      <c r="F292" s="0" t="n">
        <v>1851</v>
      </c>
      <c r="G292" s="0" t="n">
        <v>10</v>
      </c>
      <c r="H292" s="0" t="n">
        <v>6</v>
      </c>
      <c r="I292" s="0" t="n">
        <v>6</v>
      </c>
      <c r="J292" s="0" t="n">
        <v>12</v>
      </c>
      <c r="K292" s="0" t="n">
        <v>0.7</v>
      </c>
      <c r="L292" s="1" t="n">
        <v>1851</v>
      </c>
      <c r="M292" s="0" t="n">
        <v>0</v>
      </c>
      <c r="N292" s="0" t="n">
        <v>1851</v>
      </c>
      <c r="O292" s="0" t="n">
        <v>131331</v>
      </c>
      <c r="P292" s="1" t="n">
        <v>20.4</v>
      </c>
      <c r="Q292" s="0" t="n">
        <v>0</v>
      </c>
      <c r="R292" s="0" t="n">
        <v>5</v>
      </c>
      <c r="S292" s="0" t="s">
        <v>42</v>
      </c>
      <c r="T292" s="0" t="str">
        <f aca="false">IF(L292="inf","False","True")</f>
        <v>True</v>
      </c>
      <c r="U292" s="0" t="str">
        <f aca="false">IF(V292="inf","False","True")</f>
        <v>True</v>
      </c>
      <c r="V292" s="4" t="n">
        <v>99546.64</v>
      </c>
      <c r="W292" s="4" t="n">
        <v>130186.3</v>
      </c>
      <c r="X292" s="0" t="n">
        <v>235.98</v>
      </c>
      <c r="Y292" s="5" t="n">
        <f aca="false">V292-L292</f>
        <v>97695.64</v>
      </c>
      <c r="Z292" s="6" t="n">
        <f aca="false">Y292/L292</f>
        <v>52.779924365208</v>
      </c>
      <c r="AA292" s="3" t="n">
        <f aca="false">X292-P292</f>
        <v>215.58</v>
      </c>
      <c r="AB292" s="6" t="n">
        <f aca="false">AA292/P292</f>
        <v>10.5676470588235</v>
      </c>
    </row>
    <row r="293" customFormat="false" ht="12.75" hidden="false" customHeight="false" outlineLevel="0" collapsed="false">
      <c r="A293" s="0" t="s">
        <v>349</v>
      </c>
      <c r="B293" s="0" t="n">
        <v>1</v>
      </c>
      <c r="C293" s="0" t="s">
        <v>31</v>
      </c>
      <c r="D293" s="0" t="s">
        <v>31</v>
      </c>
      <c r="E293" s="0" t="n">
        <v>1166</v>
      </c>
      <c r="F293" s="0" t="n">
        <v>1852</v>
      </c>
      <c r="G293" s="0" t="n">
        <v>10</v>
      </c>
      <c r="H293" s="0" t="n">
        <v>6</v>
      </c>
      <c r="I293" s="0" t="n">
        <v>6</v>
      </c>
      <c r="J293" s="0" t="n">
        <v>12</v>
      </c>
      <c r="K293" s="0" t="n">
        <v>0.7</v>
      </c>
      <c r="L293" s="1" t="n">
        <v>1852</v>
      </c>
      <c r="M293" s="0" t="n">
        <v>0</v>
      </c>
      <c r="N293" s="0" t="n">
        <v>1852</v>
      </c>
      <c r="O293" s="0" t="n">
        <v>140762</v>
      </c>
      <c r="P293" s="1" t="n">
        <v>14.86</v>
      </c>
      <c r="Q293" s="0" t="n">
        <v>0</v>
      </c>
      <c r="R293" s="0" t="n">
        <v>6</v>
      </c>
      <c r="S293" s="0" t="s">
        <v>42</v>
      </c>
      <c r="T293" s="0" t="str">
        <f aca="false">IF(L293="inf","False","True")</f>
        <v>True</v>
      </c>
      <c r="U293" s="0" t="str">
        <f aca="false">IF(V293="inf","False","True")</f>
        <v>True</v>
      </c>
      <c r="V293" s="4" t="n">
        <v>153125.24</v>
      </c>
      <c r="W293" s="4" t="n">
        <v>122984.59</v>
      </c>
      <c r="X293" s="0" t="n">
        <v>308.98</v>
      </c>
      <c r="Y293" s="5" t="n">
        <f aca="false">V293-L293</f>
        <v>151273.24</v>
      </c>
      <c r="Z293" s="6" t="n">
        <f aca="false">Y293/L293</f>
        <v>81.6810151187905</v>
      </c>
      <c r="AA293" s="3" t="n">
        <f aca="false">X293-P293</f>
        <v>294.12</v>
      </c>
      <c r="AB293" s="6" t="n">
        <f aca="false">AA293/P293</f>
        <v>19.792732166891</v>
      </c>
    </row>
    <row r="294" customFormat="false" ht="12.75" hidden="false" customHeight="false" outlineLevel="0" collapsed="false">
      <c r="A294" s="0" t="s">
        <v>350</v>
      </c>
      <c r="B294" s="0" t="n">
        <v>2</v>
      </c>
      <c r="C294" s="0" t="s">
        <v>31</v>
      </c>
      <c r="D294" s="0" t="s">
        <v>31</v>
      </c>
      <c r="E294" s="0" t="n">
        <v>1166</v>
      </c>
      <c r="F294" s="0" t="n">
        <v>1810</v>
      </c>
      <c r="G294" s="0" t="n">
        <v>10</v>
      </c>
      <c r="H294" s="0" t="n">
        <v>6</v>
      </c>
      <c r="I294" s="0" t="n">
        <v>6</v>
      </c>
      <c r="J294" s="0" t="n">
        <v>12</v>
      </c>
      <c r="K294" s="0" t="n">
        <v>0.7</v>
      </c>
      <c r="L294" s="1" t="n">
        <v>1810</v>
      </c>
      <c r="M294" s="0" t="n">
        <v>0</v>
      </c>
      <c r="N294" s="0" t="n">
        <v>1810</v>
      </c>
      <c r="O294" s="0" t="n">
        <v>149178</v>
      </c>
      <c r="P294" s="1" t="n">
        <v>11.93</v>
      </c>
      <c r="Q294" s="0" t="n">
        <v>0</v>
      </c>
      <c r="R294" s="0" t="n">
        <v>6</v>
      </c>
      <c r="S294" s="0" t="s">
        <v>42</v>
      </c>
      <c r="T294" s="0" t="str">
        <f aca="false">IF(L294="inf","False","True")</f>
        <v>True</v>
      </c>
      <c r="U294" s="0" t="str">
        <f aca="false">IF(V294="inf","False","True")</f>
        <v>True</v>
      </c>
      <c r="V294" s="4" t="n">
        <v>423294.71</v>
      </c>
      <c r="W294" s="4" t="n">
        <v>119476.46</v>
      </c>
      <c r="X294" s="0" t="n">
        <v>216.95</v>
      </c>
      <c r="Y294" s="5" t="n">
        <f aca="false">V294-L294</f>
        <v>421484.71</v>
      </c>
      <c r="Z294" s="6" t="n">
        <f aca="false">Y294/L294</f>
        <v>232.864480662983</v>
      </c>
      <c r="AA294" s="3" t="n">
        <f aca="false">X294-P294</f>
        <v>205.02</v>
      </c>
      <c r="AB294" s="6" t="n">
        <f aca="false">AA294/P294</f>
        <v>17.1852472757754</v>
      </c>
    </row>
    <row r="295" customFormat="false" ht="12.75" hidden="false" customHeight="false" outlineLevel="0" collapsed="false">
      <c r="A295" s="0" t="s">
        <v>351</v>
      </c>
      <c r="B295" s="0" t="n">
        <v>3</v>
      </c>
      <c r="C295" s="0" t="s">
        <v>31</v>
      </c>
      <c r="D295" s="0" t="s">
        <v>31</v>
      </c>
      <c r="E295" s="0" t="n">
        <v>1166</v>
      </c>
      <c r="F295" s="0" t="n">
        <v>1830</v>
      </c>
      <c r="G295" s="0" t="n">
        <v>10</v>
      </c>
      <c r="H295" s="0" t="n">
        <v>6</v>
      </c>
      <c r="I295" s="0" t="n">
        <v>6</v>
      </c>
      <c r="J295" s="0" t="n">
        <v>12</v>
      </c>
      <c r="K295" s="0" t="n">
        <v>0.7</v>
      </c>
      <c r="L295" s="1" t="n">
        <v>113395.54</v>
      </c>
      <c r="M295" s="0" t="n">
        <v>111615.14</v>
      </c>
      <c r="N295" s="0" t="n">
        <v>1780.4</v>
      </c>
      <c r="O295" s="0" t="n">
        <v>117617.76</v>
      </c>
      <c r="P295" s="1" t="n">
        <v>198.17</v>
      </c>
      <c r="Q295" s="0" t="n">
        <v>0</v>
      </c>
      <c r="R295" s="0" t="n">
        <v>1</v>
      </c>
      <c r="S295" s="0" t="s">
        <v>42</v>
      </c>
      <c r="T295" s="0" t="str">
        <f aca="false">IF(L295="inf","False","True")</f>
        <v>True</v>
      </c>
      <c r="U295" s="0" t="str">
        <f aca="false">IF(V295="inf","False","True")</f>
        <v>True</v>
      </c>
      <c r="V295" s="4" t="n">
        <v>223964.72</v>
      </c>
      <c r="W295" s="4" t="n">
        <v>116491.57</v>
      </c>
      <c r="X295" s="0" t="n">
        <v>345.83</v>
      </c>
      <c r="Y295" s="5" t="n">
        <f aca="false">V295-L295</f>
        <v>110569.18</v>
      </c>
      <c r="Z295" s="6" t="n">
        <f aca="false">Y295/L295</f>
        <v>0.975075210189043</v>
      </c>
      <c r="AA295" s="3" t="n">
        <f aca="false">X295-P295</f>
        <v>147.66</v>
      </c>
      <c r="AB295" s="6" t="n">
        <f aca="false">AA295/P295</f>
        <v>0.745117828127365</v>
      </c>
    </row>
    <row r="296" customFormat="false" ht="12.75" hidden="false" customHeight="false" outlineLevel="0" collapsed="false">
      <c r="A296" s="0" t="s">
        <v>352</v>
      </c>
      <c r="B296" s="0" t="n">
        <v>4</v>
      </c>
      <c r="C296" s="0" t="s">
        <v>31</v>
      </c>
      <c r="D296" s="0" t="s">
        <v>31</v>
      </c>
      <c r="E296" s="0" t="n">
        <v>1166</v>
      </c>
      <c r="F296" s="0" t="n">
        <v>1913</v>
      </c>
      <c r="G296" s="0" t="n">
        <v>10</v>
      </c>
      <c r="H296" s="0" t="n">
        <v>6</v>
      </c>
      <c r="I296" s="0" t="n">
        <v>6</v>
      </c>
      <c r="J296" s="0" t="n">
        <v>12</v>
      </c>
      <c r="K296" s="0" t="n">
        <v>0.7</v>
      </c>
      <c r="L296" s="1" t="n">
        <v>1913</v>
      </c>
      <c r="M296" s="0" t="n">
        <v>0</v>
      </c>
      <c r="N296" s="0" t="n">
        <v>1913</v>
      </c>
      <c r="O296" s="0" t="n">
        <v>127631</v>
      </c>
      <c r="P296" s="1" t="n">
        <v>11.84</v>
      </c>
      <c r="Q296" s="0" t="n">
        <v>0</v>
      </c>
      <c r="R296" s="0" t="n">
        <v>6</v>
      </c>
      <c r="S296" s="0" t="s">
        <v>42</v>
      </c>
      <c r="T296" s="0" t="str">
        <f aca="false">IF(L296="inf","False","True")</f>
        <v>True</v>
      </c>
      <c r="U296" s="0" t="str">
        <f aca="false">IF(V296="inf","False","True")</f>
        <v>True</v>
      </c>
      <c r="V296" s="4" t="n">
        <v>132772.89</v>
      </c>
      <c r="W296" s="4" t="n">
        <v>124181.49</v>
      </c>
      <c r="X296" s="0" t="n">
        <v>401.49</v>
      </c>
      <c r="Y296" s="5" t="n">
        <f aca="false">V296-L296</f>
        <v>130859.89</v>
      </c>
      <c r="Z296" s="6" t="n">
        <f aca="false">Y296/L296</f>
        <v>68.4055880815473</v>
      </c>
      <c r="AA296" s="3" t="n">
        <f aca="false">X296-P296</f>
        <v>389.65</v>
      </c>
      <c r="AB296" s="6" t="n">
        <f aca="false">AA296/P296</f>
        <v>32.9096283783784</v>
      </c>
    </row>
    <row r="297" customFormat="false" ht="12.75" hidden="false" customHeight="false" outlineLevel="0" collapsed="false">
      <c r="A297" s="0" t="s">
        <v>353</v>
      </c>
      <c r="B297" s="0" t="n">
        <v>0</v>
      </c>
      <c r="C297" s="0" t="s">
        <v>31</v>
      </c>
      <c r="D297" s="0" t="s">
        <v>31</v>
      </c>
      <c r="E297" s="0" t="n">
        <v>1666</v>
      </c>
      <c r="F297" s="0" t="n">
        <v>2648</v>
      </c>
      <c r="G297" s="0" t="n">
        <v>10</v>
      </c>
      <c r="H297" s="0" t="n">
        <v>6</v>
      </c>
      <c r="I297" s="0" t="n">
        <v>6</v>
      </c>
      <c r="J297" s="0" t="n">
        <v>12</v>
      </c>
      <c r="K297" s="0" t="n">
        <v>0.7</v>
      </c>
      <c r="L297" s="1" t="n">
        <v>2648</v>
      </c>
      <c r="M297" s="0" t="n">
        <v>0</v>
      </c>
      <c r="N297" s="0" t="n">
        <v>2648</v>
      </c>
      <c r="O297" s="0" t="n">
        <v>191161</v>
      </c>
      <c r="P297" s="1" t="n">
        <v>13.95</v>
      </c>
      <c r="Q297" s="0" t="n">
        <v>0</v>
      </c>
      <c r="R297" s="0" t="n">
        <v>6</v>
      </c>
      <c r="S297" s="0" t="s">
        <v>42</v>
      </c>
      <c r="T297" s="0" t="str">
        <f aca="false">IF(L297="inf","False","True")</f>
        <v>True</v>
      </c>
      <c r="U297" s="0" t="str">
        <f aca="false">IF(V297="inf","False","True")</f>
        <v>True</v>
      </c>
      <c r="V297" s="4" t="n">
        <v>342040.07</v>
      </c>
      <c r="W297" s="4" t="n">
        <v>177690.38</v>
      </c>
      <c r="X297" s="0" t="n">
        <v>0</v>
      </c>
      <c r="Y297" s="5" t="n">
        <f aca="false">V297-L297</f>
        <v>339392.07</v>
      </c>
      <c r="Z297" s="6" t="n">
        <f aca="false">Y297/L297</f>
        <v>128.169210725076</v>
      </c>
      <c r="AA297" s="3" t="n">
        <f aca="false">X297-P297</f>
        <v>-13.95</v>
      </c>
      <c r="AB297" s="6" t="n">
        <f aca="false">AA297/P297</f>
        <v>-1</v>
      </c>
    </row>
    <row r="298" customFormat="false" ht="12.75" hidden="false" customHeight="false" outlineLevel="0" collapsed="false">
      <c r="A298" s="0" t="s">
        <v>354</v>
      </c>
      <c r="B298" s="0" t="n">
        <v>1</v>
      </c>
      <c r="C298" s="0" t="s">
        <v>31</v>
      </c>
      <c r="D298" s="0" t="s">
        <v>31</v>
      </c>
      <c r="E298" s="0" t="n">
        <v>1666</v>
      </c>
      <c r="F298" s="0" t="n">
        <v>2650</v>
      </c>
      <c r="G298" s="0" t="n">
        <v>10</v>
      </c>
      <c r="H298" s="0" t="n">
        <v>6</v>
      </c>
      <c r="I298" s="0" t="n">
        <v>6</v>
      </c>
      <c r="J298" s="0" t="n">
        <v>12</v>
      </c>
      <c r="K298" s="0" t="n">
        <v>0.7</v>
      </c>
      <c r="L298" s="1" t="n">
        <v>2650</v>
      </c>
      <c r="M298" s="0" t="n">
        <v>0</v>
      </c>
      <c r="N298" s="0" t="n">
        <v>2650</v>
      </c>
      <c r="O298" s="0" t="n">
        <v>191949</v>
      </c>
      <c r="P298" s="1" t="n">
        <v>24.31</v>
      </c>
      <c r="Q298" s="0" t="n">
        <v>0</v>
      </c>
      <c r="R298" s="0" t="n">
        <v>1</v>
      </c>
      <c r="S298" s="0" t="s">
        <v>42</v>
      </c>
      <c r="T298" s="0" t="str">
        <f aca="false">IF(L298="inf","False","True")</f>
        <v>True</v>
      </c>
      <c r="U298" s="0" t="str">
        <f aca="false">IF(V298="inf","False","True")</f>
        <v>True</v>
      </c>
      <c r="V298" s="4" t="n">
        <v>303067.54</v>
      </c>
      <c r="W298" s="4" t="n">
        <v>174517.31</v>
      </c>
      <c r="X298" s="0" t="n">
        <v>203.26</v>
      </c>
      <c r="Y298" s="5" t="n">
        <f aca="false">V298-L298</f>
        <v>300417.54</v>
      </c>
      <c r="Z298" s="6" t="n">
        <f aca="false">Y298/L298</f>
        <v>113.365109433962</v>
      </c>
      <c r="AA298" s="3" t="n">
        <f aca="false">X298-P298</f>
        <v>178.95</v>
      </c>
      <c r="AB298" s="6" t="n">
        <f aca="false">AA298/P298</f>
        <v>7.36116824352119</v>
      </c>
    </row>
    <row r="299" customFormat="false" ht="12.75" hidden="false" customHeight="false" outlineLevel="0" collapsed="false">
      <c r="A299" s="0" t="s">
        <v>355</v>
      </c>
      <c r="B299" s="0" t="n">
        <v>2</v>
      </c>
      <c r="C299" s="0" t="s">
        <v>31</v>
      </c>
      <c r="D299" s="0" t="s">
        <v>31</v>
      </c>
      <c r="E299" s="0" t="n">
        <v>1666</v>
      </c>
      <c r="F299" s="0" t="n">
        <v>2589</v>
      </c>
      <c r="G299" s="0" t="n">
        <v>10</v>
      </c>
      <c r="H299" s="0" t="n">
        <v>6</v>
      </c>
      <c r="I299" s="0" t="n">
        <v>6</v>
      </c>
      <c r="J299" s="0" t="n">
        <v>12</v>
      </c>
      <c r="K299" s="0" t="n">
        <v>0.7</v>
      </c>
      <c r="L299" s="1" t="n">
        <v>2589</v>
      </c>
      <c r="M299" s="0" t="n">
        <v>0</v>
      </c>
      <c r="N299" s="0" t="n">
        <v>2589</v>
      </c>
      <c r="O299" s="0" t="n">
        <v>213007</v>
      </c>
      <c r="P299" s="1" t="n">
        <v>8.55</v>
      </c>
      <c r="Q299" s="0" t="n">
        <v>0</v>
      </c>
      <c r="R299" s="0" t="n">
        <v>1</v>
      </c>
      <c r="S299" s="0" t="s">
        <v>42</v>
      </c>
      <c r="T299" s="0" t="str">
        <f aca="false">IF(L299="inf","False","True")</f>
        <v>True</v>
      </c>
      <c r="U299" s="0" t="str">
        <f aca="false">IF(V299="inf","False","True")</f>
        <v>True</v>
      </c>
      <c r="V299" s="4" t="n">
        <v>338624.54</v>
      </c>
      <c r="W299" s="4" t="n">
        <v>174355.16</v>
      </c>
      <c r="X299" s="0" t="n">
        <v>133.66</v>
      </c>
      <c r="Y299" s="5" t="n">
        <f aca="false">V299-L299</f>
        <v>336035.54</v>
      </c>
      <c r="Z299" s="6" t="n">
        <f aca="false">Y299/L299</f>
        <v>129.793565083044</v>
      </c>
      <c r="AA299" s="3" t="n">
        <f aca="false">X299-P299</f>
        <v>125.11</v>
      </c>
      <c r="AB299" s="6" t="n">
        <f aca="false">AA299/P299</f>
        <v>14.6327485380117</v>
      </c>
    </row>
    <row r="300" customFormat="false" ht="12.75" hidden="false" customHeight="false" outlineLevel="0" collapsed="false">
      <c r="A300" s="0" t="s">
        <v>356</v>
      </c>
      <c r="B300" s="0" t="n">
        <v>3</v>
      </c>
      <c r="C300" s="0" t="s">
        <v>31</v>
      </c>
      <c r="D300" s="0" t="s">
        <v>31</v>
      </c>
      <c r="E300" s="0" t="n">
        <v>1666</v>
      </c>
      <c r="F300" s="0" t="n">
        <v>2616</v>
      </c>
      <c r="G300" s="0" t="n">
        <v>10</v>
      </c>
      <c r="H300" s="0" t="n">
        <v>6</v>
      </c>
      <c r="I300" s="0" t="n">
        <v>6</v>
      </c>
      <c r="J300" s="0" t="n">
        <v>12</v>
      </c>
      <c r="K300" s="0" t="n">
        <v>0.7</v>
      </c>
      <c r="L300" s="1" t="n">
        <v>134118.56</v>
      </c>
      <c r="M300" s="0" t="n">
        <v>131604.92</v>
      </c>
      <c r="N300" s="0" t="n">
        <v>2513.64</v>
      </c>
      <c r="O300" s="0" t="n">
        <v>171121.31</v>
      </c>
      <c r="P300" s="1" t="n">
        <v>117.1</v>
      </c>
      <c r="Q300" s="0" t="n">
        <v>0</v>
      </c>
      <c r="R300" s="0" t="n">
        <v>7</v>
      </c>
      <c r="S300" s="0" t="s">
        <v>357</v>
      </c>
      <c r="T300" s="0" t="str">
        <f aca="false">IF(L300="inf","False","True")</f>
        <v>True</v>
      </c>
      <c r="U300" s="0" t="str">
        <f aca="false">IF(V300="inf","False","True")</f>
        <v>True</v>
      </c>
      <c r="V300" s="4" t="n">
        <v>281840.23</v>
      </c>
      <c r="W300" s="4" t="n">
        <v>186704.23</v>
      </c>
      <c r="X300" s="0" t="n">
        <v>281.4</v>
      </c>
      <c r="Y300" s="5" t="n">
        <f aca="false">V300-L300</f>
        <v>147721.67</v>
      </c>
      <c r="Z300" s="6" t="n">
        <f aca="false">Y300/L300</f>
        <v>1.10142600695981</v>
      </c>
      <c r="AA300" s="3" t="n">
        <f aca="false">X300-P300</f>
        <v>164.3</v>
      </c>
      <c r="AB300" s="6" t="n">
        <f aca="false">AA300/P300</f>
        <v>1.40307429547395</v>
      </c>
    </row>
    <row r="301" customFormat="false" ht="12.75" hidden="false" customHeight="false" outlineLevel="0" collapsed="false">
      <c r="A301" s="0" t="s">
        <v>358</v>
      </c>
      <c r="B301" s="0" t="n">
        <v>4</v>
      </c>
      <c r="C301" s="0" t="s">
        <v>31</v>
      </c>
      <c r="D301" s="0" t="s">
        <v>31</v>
      </c>
      <c r="E301" s="0" t="n">
        <v>1666</v>
      </c>
      <c r="F301" s="0" t="n">
        <v>2736</v>
      </c>
      <c r="G301" s="0" t="n">
        <v>10</v>
      </c>
      <c r="H301" s="0" t="n">
        <v>6</v>
      </c>
      <c r="I301" s="0" t="n">
        <v>6</v>
      </c>
      <c r="J301" s="0" t="n">
        <v>12</v>
      </c>
      <c r="K301" s="0" t="n">
        <v>0.7</v>
      </c>
      <c r="L301" s="1" t="n">
        <v>2736</v>
      </c>
      <c r="M301" s="0" t="n">
        <v>0</v>
      </c>
      <c r="N301" s="0" t="n">
        <v>2736</v>
      </c>
      <c r="O301" s="0" t="n">
        <v>182307</v>
      </c>
      <c r="P301" s="1" t="n">
        <v>9.56</v>
      </c>
      <c r="Q301" s="0" t="n">
        <v>0</v>
      </c>
      <c r="R301" s="0" t="n">
        <v>1</v>
      </c>
      <c r="S301" s="0" t="s">
        <v>42</v>
      </c>
      <c r="T301" s="0" t="str">
        <f aca="false">IF(L301="inf","False","True")</f>
        <v>True</v>
      </c>
      <c r="U301" s="0" t="str">
        <f aca="false">IF(V301="inf","False","True")</f>
        <v>True</v>
      </c>
      <c r="V301" s="4" t="n">
        <v>457775.79</v>
      </c>
      <c r="W301" s="4" t="n">
        <v>172962.69</v>
      </c>
      <c r="X301" s="0" t="n">
        <v>294.72</v>
      </c>
      <c r="Y301" s="5" t="n">
        <f aca="false">V301-L301</f>
        <v>455039.79</v>
      </c>
      <c r="Z301" s="6" t="n">
        <f aca="false">Y301/L301</f>
        <v>166.315712719298</v>
      </c>
      <c r="AA301" s="3" t="n">
        <f aca="false">X301-P301</f>
        <v>285.16</v>
      </c>
      <c r="AB301" s="6" t="n">
        <f aca="false">AA301/P301</f>
        <v>29.8284518828452</v>
      </c>
    </row>
    <row r="302" customFormat="false" ht="12.75" hidden="false" customHeight="false" outlineLevel="0" collapsed="false">
      <c r="A302" s="0" t="s">
        <v>359</v>
      </c>
      <c r="B302" s="0" t="n">
        <v>0</v>
      </c>
      <c r="C302" s="0" t="s">
        <v>31</v>
      </c>
      <c r="D302" s="0" t="s">
        <v>31</v>
      </c>
      <c r="E302" s="0" t="n">
        <v>500</v>
      </c>
      <c r="F302" s="0" t="n">
        <v>402</v>
      </c>
      <c r="G302" s="0" t="n">
        <v>15</v>
      </c>
      <c r="H302" s="0" t="n">
        <v>6</v>
      </c>
      <c r="I302" s="0" t="n">
        <v>6</v>
      </c>
      <c r="J302" s="0" t="n">
        <v>4</v>
      </c>
      <c r="K302" s="0" t="n">
        <v>0.7</v>
      </c>
      <c r="L302" s="1" t="n">
        <v>85610.1</v>
      </c>
      <c r="M302" s="0" t="n">
        <v>85208.25</v>
      </c>
      <c r="N302" s="0" t="n">
        <v>401.85</v>
      </c>
      <c r="O302" s="0" t="n">
        <v>83029.34</v>
      </c>
      <c r="P302" s="1" t="n">
        <v>33.8</v>
      </c>
      <c r="Q302" s="0" t="n">
        <v>0</v>
      </c>
      <c r="R302" s="0" t="n">
        <v>7</v>
      </c>
      <c r="S302" s="0" t="s">
        <v>32</v>
      </c>
      <c r="T302" s="0" t="str">
        <f aca="false">IF(L302="inf","False","True")</f>
        <v>True</v>
      </c>
      <c r="U302" s="0" t="str">
        <f aca="false">IF(V302="inf","False","True")</f>
        <v>False</v>
      </c>
      <c r="V302" s="4" t="s">
        <v>37</v>
      </c>
      <c r="W302" s="4" t="s">
        <v>37</v>
      </c>
      <c r="X302" s="0" t="n">
        <v>22.73</v>
      </c>
      <c r="Y302" s="5" t="e">
        <f aca="false">V302-L302</f>
        <v>#VALUE!</v>
      </c>
      <c r="Z302" s="6" t="e">
        <f aca="false">Y302/L302</f>
        <v>#VALUE!</v>
      </c>
      <c r="AA302" s="3" t="n">
        <f aca="false">X302-P302</f>
        <v>-11.07</v>
      </c>
      <c r="AB302" s="6" t="n">
        <f aca="false">AA302/P302</f>
        <v>-0.327514792899408</v>
      </c>
    </row>
    <row r="303" customFormat="false" ht="12.75" hidden="false" customHeight="false" outlineLevel="0" collapsed="false">
      <c r="A303" s="0" t="s">
        <v>360</v>
      </c>
      <c r="B303" s="0" t="n">
        <v>1</v>
      </c>
      <c r="C303" s="0" t="s">
        <v>31</v>
      </c>
      <c r="D303" s="0" t="s">
        <v>31</v>
      </c>
      <c r="E303" s="0" t="n">
        <v>500</v>
      </c>
      <c r="F303" s="0" t="n">
        <v>434</v>
      </c>
      <c r="G303" s="0" t="n">
        <v>15</v>
      </c>
      <c r="H303" s="0" t="n">
        <v>6</v>
      </c>
      <c r="I303" s="0" t="n">
        <v>6</v>
      </c>
      <c r="J303" s="0" t="n">
        <v>4</v>
      </c>
      <c r="K303" s="0" t="n">
        <v>0.7</v>
      </c>
      <c r="L303" s="1" t="n">
        <v>299034.65</v>
      </c>
      <c r="M303" s="0" t="n">
        <v>298612.01</v>
      </c>
      <c r="N303" s="0" t="n">
        <v>422.64</v>
      </c>
      <c r="O303" s="0" t="n">
        <v>87426.02</v>
      </c>
      <c r="P303" s="1" t="n">
        <v>30.51</v>
      </c>
      <c r="Q303" s="0" t="n">
        <v>0</v>
      </c>
      <c r="R303" s="0" t="n">
        <v>5</v>
      </c>
      <c r="S303" s="0" t="s">
        <v>32</v>
      </c>
      <c r="T303" s="0" t="str">
        <f aca="false">IF(L303="inf","False","True")</f>
        <v>True</v>
      </c>
      <c r="U303" s="0" t="str">
        <f aca="false">IF(V303="inf","False","True")</f>
        <v>False</v>
      </c>
      <c r="V303" s="4" t="s">
        <v>37</v>
      </c>
      <c r="W303" s="4" t="s">
        <v>37</v>
      </c>
      <c r="X303" s="0" t="n">
        <v>19.33</v>
      </c>
      <c r="Y303" s="5" t="e">
        <f aca="false">V303-L303</f>
        <v>#VALUE!</v>
      </c>
      <c r="Z303" s="6" t="e">
        <f aca="false">Y303/L303</f>
        <v>#VALUE!</v>
      </c>
      <c r="AA303" s="3" t="n">
        <f aca="false">X303-P303</f>
        <v>-11.18</v>
      </c>
      <c r="AB303" s="6" t="n">
        <f aca="false">AA303/P303</f>
        <v>-0.366437233693871</v>
      </c>
    </row>
    <row r="304" customFormat="false" ht="12.75" hidden="false" customHeight="false" outlineLevel="0" collapsed="false">
      <c r="A304" s="0" t="s">
        <v>361</v>
      </c>
      <c r="B304" s="0" t="n">
        <v>2</v>
      </c>
      <c r="C304" s="0" t="s">
        <v>31</v>
      </c>
      <c r="D304" s="0" t="s">
        <v>31</v>
      </c>
      <c r="E304" s="0" t="n">
        <v>500</v>
      </c>
      <c r="F304" s="0" t="n">
        <v>430</v>
      </c>
      <c r="G304" s="0" t="n">
        <v>15</v>
      </c>
      <c r="H304" s="0" t="n">
        <v>6</v>
      </c>
      <c r="I304" s="0" t="n">
        <v>6</v>
      </c>
      <c r="J304" s="0" t="n">
        <v>4</v>
      </c>
      <c r="K304" s="0" t="n">
        <v>0.7</v>
      </c>
      <c r="L304" s="1" t="n">
        <v>309241.33</v>
      </c>
      <c r="M304" s="0" t="n">
        <v>308831.62</v>
      </c>
      <c r="N304" s="0" t="n">
        <v>409.71</v>
      </c>
      <c r="O304" s="0" t="n">
        <v>88425.71</v>
      </c>
      <c r="P304" s="1" t="n">
        <v>25.11</v>
      </c>
      <c r="Q304" s="0" t="n">
        <v>0</v>
      </c>
      <c r="R304" s="0" t="n">
        <v>10</v>
      </c>
      <c r="S304" s="0" t="s">
        <v>32</v>
      </c>
      <c r="T304" s="0" t="str">
        <f aca="false">IF(L304="inf","False","True")</f>
        <v>True</v>
      </c>
      <c r="U304" s="0" t="str">
        <f aca="false">IF(V304="inf","False","True")</f>
        <v>False</v>
      </c>
      <c r="V304" s="4" t="s">
        <v>37</v>
      </c>
      <c r="W304" s="4" t="s">
        <v>37</v>
      </c>
      <c r="X304" s="0" t="n">
        <v>16.43</v>
      </c>
      <c r="Y304" s="5" t="e">
        <f aca="false">V304-L304</f>
        <v>#VALUE!</v>
      </c>
      <c r="Z304" s="6" t="e">
        <f aca="false">Y304/L304</f>
        <v>#VALUE!</v>
      </c>
      <c r="AA304" s="3" t="n">
        <f aca="false">X304-P304</f>
        <v>-8.68</v>
      </c>
      <c r="AB304" s="6" t="n">
        <f aca="false">AA304/P304</f>
        <v>-0.345679012345679</v>
      </c>
    </row>
    <row r="305" customFormat="false" ht="12.75" hidden="false" customHeight="false" outlineLevel="0" collapsed="false">
      <c r="A305" s="0" t="s">
        <v>362</v>
      </c>
      <c r="B305" s="0" t="n">
        <v>3</v>
      </c>
      <c r="C305" s="0" t="s">
        <v>31</v>
      </c>
      <c r="D305" s="0" t="s">
        <v>31</v>
      </c>
      <c r="E305" s="0" t="n">
        <v>500</v>
      </c>
      <c r="F305" s="0" t="n">
        <v>415</v>
      </c>
      <c r="G305" s="0" t="n">
        <v>15</v>
      </c>
      <c r="H305" s="0" t="n">
        <v>6</v>
      </c>
      <c r="I305" s="0" t="n">
        <v>6</v>
      </c>
      <c r="J305" s="0" t="n">
        <v>4</v>
      </c>
      <c r="K305" s="0" t="n">
        <v>0.7</v>
      </c>
      <c r="L305" s="1" t="n">
        <v>176824.96</v>
      </c>
      <c r="M305" s="0" t="n">
        <v>176411.02</v>
      </c>
      <c r="N305" s="0" t="n">
        <v>413.94</v>
      </c>
      <c r="O305" s="0" t="n">
        <v>85208.67</v>
      </c>
      <c r="P305" s="1" t="n">
        <v>32.44</v>
      </c>
      <c r="Q305" s="0" t="n">
        <v>0</v>
      </c>
      <c r="R305" s="0" t="n">
        <v>2</v>
      </c>
      <c r="S305" s="0" t="s">
        <v>32</v>
      </c>
      <c r="T305" s="0" t="str">
        <f aca="false">IF(L305="inf","False","True")</f>
        <v>True</v>
      </c>
      <c r="U305" s="0" t="str">
        <f aca="false">IF(V305="inf","False","True")</f>
        <v>False</v>
      </c>
      <c r="V305" s="4" t="s">
        <v>37</v>
      </c>
      <c r="W305" s="4" t="s">
        <v>37</v>
      </c>
      <c r="X305" s="0" t="n">
        <v>16.23</v>
      </c>
      <c r="Y305" s="5" t="e">
        <f aca="false">V305-L305</f>
        <v>#VALUE!</v>
      </c>
      <c r="Z305" s="6" t="e">
        <f aca="false">Y305/L305</f>
        <v>#VALUE!</v>
      </c>
      <c r="AA305" s="3" t="n">
        <f aca="false">X305-P305</f>
        <v>-16.21</v>
      </c>
      <c r="AB305" s="6" t="n">
        <f aca="false">AA305/P305</f>
        <v>-0.499691738594328</v>
      </c>
    </row>
    <row r="306" customFormat="false" ht="12.75" hidden="false" customHeight="false" outlineLevel="0" collapsed="false">
      <c r="A306" s="0" t="s">
        <v>363</v>
      </c>
      <c r="B306" s="0" t="n">
        <v>4</v>
      </c>
      <c r="C306" s="0" t="s">
        <v>31</v>
      </c>
      <c r="D306" s="0" t="s">
        <v>31</v>
      </c>
      <c r="E306" s="0" t="n">
        <v>500</v>
      </c>
      <c r="F306" s="0" t="n">
        <v>462</v>
      </c>
      <c r="G306" s="0" t="n">
        <v>15</v>
      </c>
      <c r="H306" s="0" t="n">
        <v>6</v>
      </c>
      <c r="I306" s="0" t="n">
        <v>6</v>
      </c>
      <c r="J306" s="0" t="n">
        <v>4</v>
      </c>
      <c r="K306" s="0" t="n">
        <v>0.7</v>
      </c>
      <c r="L306" s="1" t="n">
        <v>267988.91</v>
      </c>
      <c r="M306" s="0" t="n">
        <v>267541.15</v>
      </c>
      <c r="N306" s="0" t="n">
        <v>447.76</v>
      </c>
      <c r="O306" s="0" t="n">
        <v>80508.34</v>
      </c>
      <c r="P306" s="1" t="n">
        <v>15.01</v>
      </c>
      <c r="Q306" s="0" t="n">
        <v>0</v>
      </c>
      <c r="R306" s="0" t="n">
        <v>6</v>
      </c>
      <c r="S306" s="0" t="s">
        <v>32</v>
      </c>
      <c r="T306" s="0" t="str">
        <f aca="false">IF(L306="inf","False","True")</f>
        <v>True</v>
      </c>
      <c r="U306" s="0" t="str">
        <f aca="false">IF(V306="inf","False","True")</f>
        <v>True</v>
      </c>
      <c r="V306" s="4" t="n">
        <v>267372.8</v>
      </c>
      <c r="W306" s="4" t="n">
        <v>80881.58</v>
      </c>
      <c r="X306" s="0" t="n">
        <v>15.97</v>
      </c>
      <c r="Y306" s="5" t="n">
        <f aca="false">V306-L306</f>
        <v>-616.109999999986</v>
      </c>
      <c r="Z306" s="6" t="n">
        <f aca="false">Y306/L306</f>
        <v>-0.00229901304498006</v>
      </c>
      <c r="AA306" s="3" t="n">
        <f aca="false">X306-P306</f>
        <v>0.960000000000001</v>
      </c>
      <c r="AB306" s="6" t="n">
        <f aca="false">AA306/P306</f>
        <v>0.0639573617588275</v>
      </c>
    </row>
    <row r="307" customFormat="false" ht="12.75" hidden="false" customHeight="false" outlineLevel="0" collapsed="false">
      <c r="A307" s="0" t="s">
        <v>364</v>
      </c>
      <c r="B307" s="0" t="n">
        <v>0</v>
      </c>
      <c r="C307" s="0" t="s">
        <v>31</v>
      </c>
      <c r="D307" s="0" t="s">
        <v>31</v>
      </c>
      <c r="E307" s="0" t="n">
        <v>833</v>
      </c>
      <c r="F307" s="0" t="n">
        <v>675</v>
      </c>
      <c r="G307" s="0" t="n">
        <v>15</v>
      </c>
      <c r="H307" s="0" t="n">
        <v>6</v>
      </c>
      <c r="I307" s="0" t="n">
        <v>6</v>
      </c>
      <c r="J307" s="0" t="n">
        <v>4</v>
      </c>
      <c r="K307" s="0" t="n">
        <v>0.7</v>
      </c>
      <c r="L307" s="1" t="n">
        <v>205958.79</v>
      </c>
      <c r="M307" s="0" t="n">
        <v>205307.48</v>
      </c>
      <c r="N307" s="0" t="n">
        <v>651.31</v>
      </c>
      <c r="O307" s="0" t="n">
        <v>139011.69</v>
      </c>
      <c r="P307" s="1" t="n">
        <v>28.24</v>
      </c>
      <c r="Q307" s="0" t="n">
        <v>0</v>
      </c>
      <c r="R307" s="0" t="n">
        <v>2</v>
      </c>
      <c r="S307" s="0" t="s">
        <v>32</v>
      </c>
      <c r="T307" s="0" t="str">
        <f aca="false">IF(L307="inf","False","True")</f>
        <v>True</v>
      </c>
      <c r="U307" s="0" t="str">
        <f aca="false">IF(V307="inf","False","True")</f>
        <v>False</v>
      </c>
      <c r="V307" s="4" t="s">
        <v>37</v>
      </c>
      <c r="W307" s="4" t="s">
        <v>37</v>
      </c>
      <c r="X307" s="0" t="n">
        <v>21.32</v>
      </c>
      <c r="Y307" s="5" t="e">
        <f aca="false">V307-L307</f>
        <v>#VALUE!</v>
      </c>
      <c r="Z307" s="6" t="e">
        <f aca="false">Y307/L307</f>
        <v>#VALUE!</v>
      </c>
      <c r="AA307" s="3" t="n">
        <f aca="false">X307-P307</f>
        <v>-6.92</v>
      </c>
      <c r="AB307" s="6" t="n">
        <f aca="false">AA307/P307</f>
        <v>-0.245042492917847</v>
      </c>
    </row>
    <row r="308" customFormat="false" ht="12.75" hidden="false" customHeight="false" outlineLevel="0" collapsed="false">
      <c r="A308" s="0" t="s">
        <v>365</v>
      </c>
      <c r="B308" s="0" t="n">
        <v>1</v>
      </c>
      <c r="C308" s="0" t="s">
        <v>31</v>
      </c>
      <c r="D308" s="0" t="s">
        <v>31</v>
      </c>
      <c r="E308" s="0" t="n">
        <v>833</v>
      </c>
      <c r="F308" s="0" t="n">
        <v>729</v>
      </c>
      <c r="G308" s="0" t="n">
        <v>15</v>
      </c>
      <c r="H308" s="0" t="n">
        <v>6</v>
      </c>
      <c r="I308" s="0" t="n">
        <v>6</v>
      </c>
      <c r="J308" s="0" t="n">
        <v>4</v>
      </c>
      <c r="K308" s="0" t="n">
        <v>0.7</v>
      </c>
      <c r="L308" s="1" t="n">
        <v>639743.23</v>
      </c>
      <c r="M308" s="0" t="n">
        <v>639042.23</v>
      </c>
      <c r="N308" s="0" t="n">
        <v>701</v>
      </c>
      <c r="O308" s="0" t="n">
        <v>143977.6</v>
      </c>
      <c r="P308" s="1" t="n">
        <v>18.29</v>
      </c>
      <c r="Q308" s="0" t="n">
        <v>0</v>
      </c>
      <c r="R308" s="0" t="n">
        <v>6</v>
      </c>
      <c r="S308" s="0" t="s">
        <v>32</v>
      </c>
      <c r="T308" s="0" t="str">
        <f aca="false">IF(L308="inf","False","True")</f>
        <v>True</v>
      </c>
      <c r="U308" s="0" t="str">
        <f aca="false">IF(V308="inf","False","True")</f>
        <v>False</v>
      </c>
      <c r="V308" s="4" t="s">
        <v>37</v>
      </c>
      <c r="W308" s="4" t="s">
        <v>37</v>
      </c>
      <c r="X308" s="0" t="n">
        <v>22.49</v>
      </c>
      <c r="Y308" s="5" t="e">
        <f aca="false">V308-L308</f>
        <v>#VALUE!</v>
      </c>
      <c r="Z308" s="6" t="e">
        <f aca="false">Y308/L308</f>
        <v>#VALUE!</v>
      </c>
      <c r="AA308" s="3" t="n">
        <f aca="false">X308-P308</f>
        <v>4.2</v>
      </c>
      <c r="AB308" s="6" t="n">
        <f aca="false">AA308/P308</f>
        <v>0.229633679606342</v>
      </c>
    </row>
    <row r="309" customFormat="false" ht="12.75" hidden="false" customHeight="false" outlineLevel="0" collapsed="false">
      <c r="A309" s="0" t="s">
        <v>366</v>
      </c>
      <c r="B309" s="0" t="n">
        <v>2</v>
      </c>
      <c r="C309" s="0" t="s">
        <v>31</v>
      </c>
      <c r="D309" s="0" t="s">
        <v>31</v>
      </c>
      <c r="E309" s="0" t="n">
        <v>833</v>
      </c>
      <c r="F309" s="0" t="n">
        <v>721</v>
      </c>
      <c r="G309" s="0" t="n">
        <v>15</v>
      </c>
      <c r="H309" s="0" t="n">
        <v>6</v>
      </c>
      <c r="I309" s="0" t="n">
        <v>6</v>
      </c>
      <c r="J309" s="0" t="n">
        <v>4</v>
      </c>
      <c r="K309" s="0" t="n">
        <v>0.7</v>
      </c>
      <c r="L309" s="1" t="n">
        <v>556047.19</v>
      </c>
      <c r="M309" s="0" t="n">
        <v>555361.05</v>
      </c>
      <c r="N309" s="0" t="n">
        <v>686.14</v>
      </c>
      <c r="O309" s="0" t="n">
        <v>147334.01</v>
      </c>
      <c r="P309" s="1" t="n">
        <v>13.46</v>
      </c>
      <c r="Q309" s="0" t="n">
        <v>0</v>
      </c>
      <c r="R309" s="0" t="n">
        <v>2</v>
      </c>
      <c r="S309" s="0" t="s">
        <v>32</v>
      </c>
      <c r="T309" s="0" t="str">
        <f aca="false">IF(L309="inf","False","True")</f>
        <v>True</v>
      </c>
      <c r="U309" s="0" t="str">
        <f aca="false">IF(V309="inf","False","True")</f>
        <v>False</v>
      </c>
      <c r="V309" s="4" t="s">
        <v>37</v>
      </c>
      <c r="W309" s="4" t="s">
        <v>37</v>
      </c>
      <c r="X309" s="0" t="n">
        <v>17.79</v>
      </c>
      <c r="Y309" s="5" t="e">
        <f aca="false">V309-L309</f>
        <v>#VALUE!</v>
      </c>
      <c r="Z309" s="6" t="e">
        <f aca="false">Y309/L309</f>
        <v>#VALUE!</v>
      </c>
      <c r="AA309" s="3" t="n">
        <f aca="false">X309-P309</f>
        <v>4.33</v>
      </c>
      <c r="AB309" s="6" t="n">
        <f aca="false">AA309/P309</f>
        <v>0.321693907875186</v>
      </c>
    </row>
    <row r="310" customFormat="false" ht="12.75" hidden="false" customHeight="false" outlineLevel="0" collapsed="false">
      <c r="A310" s="0" t="s">
        <v>367</v>
      </c>
      <c r="B310" s="0" t="n">
        <v>3</v>
      </c>
      <c r="C310" s="0" t="s">
        <v>31</v>
      </c>
      <c r="D310" s="0" t="s">
        <v>31</v>
      </c>
      <c r="E310" s="0" t="n">
        <v>833</v>
      </c>
      <c r="F310" s="0" t="n">
        <v>695</v>
      </c>
      <c r="G310" s="0" t="n">
        <v>15</v>
      </c>
      <c r="H310" s="0" t="n">
        <v>6</v>
      </c>
      <c r="I310" s="0" t="n">
        <v>6</v>
      </c>
      <c r="J310" s="0" t="n">
        <v>4</v>
      </c>
      <c r="K310" s="0" t="n">
        <v>0.7</v>
      </c>
      <c r="L310" s="1" t="n">
        <v>270915.94</v>
      </c>
      <c r="M310" s="0" t="n">
        <v>270224.36</v>
      </c>
      <c r="N310" s="0" t="n">
        <v>691.58</v>
      </c>
      <c r="O310" s="0" t="n">
        <v>141935.07</v>
      </c>
      <c r="P310" s="1" t="n">
        <v>50.78</v>
      </c>
      <c r="Q310" s="0" t="n">
        <v>0</v>
      </c>
      <c r="R310" s="0" t="n">
        <v>5</v>
      </c>
      <c r="S310" s="0" t="s">
        <v>32</v>
      </c>
      <c r="T310" s="0" t="str">
        <f aca="false">IF(L310="inf","False","True")</f>
        <v>True</v>
      </c>
      <c r="U310" s="0" t="str">
        <f aca="false">IF(V310="inf","False","True")</f>
        <v>False</v>
      </c>
      <c r="V310" s="4" t="s">
        <v>37</v>
      </c>
      <c r="W310" s="4" t="s">
        <v>37</v>
      </c>
      <c r="X310" s="0" t="n">
        <v>16.81</v>
      </c>
      <c r="Y310" s="5" t="e">
        <f aca="false">V310-L310</f>
        <v>#VALUE!</v>
      </c>
      <c r="Z310" s="6" t="e">
        <f aca="false">Y310/L310</f>
        <v>#VALUE!</v>
      </c>
      <c r="AA310" s="3" t="n">
        <f aca="false">X310-P310</f>
        <v>-33.97</v>
      </c>
      <c r="AB310" s="6" t="n">
        <f aca="false">AA310/P310</f>
        <v>-0.668964159117763</v>
      </c>
    </row>
    <row r="311" customFormat="false" ht="12.75" hidden="false" customHeight="false" outlineLevel="0" collapsed="false">
      <c r="A311" s="0" t="s">
        <v>368</v>
      </c>
      <c r="B311" s="0" t="n">
        <v>4</v>
      </c>
      <c r="C311" s="0" t="s">
        <v>31</v>
      </c>
      <c r="D311" s="0" t="s">
        <v>31</v>
      </c>
      <c r="E311" s="0" t="n">
        <v>833</v>
      </c>
      <c r="F311" s="0" t="n">
        <v>776</v>
      </c>
      <c r="G311" s="0" t="n">
        <v>15</v>
      </c>
      <c r="H311" s="0" t="n">
        <v>6</v>
      </c>
      <c r="I311" s="0" t="n">
        <v>6</v>
      </c>
      <c r="J311" s="0" t="n">
        <v>4</v>
      </c>
      <c r="K311" s="0" t="n">
        <v>0.7</v>
      </c>
      <c r="L311" s="1" t="n">
        <v>440729.75</v>
      </c>
      <c r="M311" s="0" t="n">
        <v>439981.82</v>
      </c>
      <c r="N311" s="0" t="n">
        <v>747.93</v>
      </c>
      <c r="O311" s="0" t="n">
        <v>133002.12</v>
      </c>
      <c r="P311" s="1" t="n">
        <v>13.68</v>
      </c>
      <c r="Q311" s="0" t="n">
        <v>0</v>
      </c>
      <c r="R311" s="0" t="n">
        <v>2</v>
      </c>
      <c r="S311" s="0" t="s">
        <v>32</v>
      </c>
      <c r="T311" s="0" t="str">
        <f aca="false">IF(L311="inf","False","True")</f>
        <v>True</v>
      </c>
      <c r="U311" s="0" t="str">
        <f aca="false">IF(V311="inf","False","True")</f>
        <v>False</v>
      </c>
      <c r="V311" s="4" t="s">
        <v>37</v>
      </c>
      <c r="W311" s="4" t="s">
        <v>37</v>
      </c>
      <c r="X311" s="0" t="n">
        <v>17.97</v>
      </c>
      <c r="Y311" s="5" t="e">
        <f aca="false">V311-L311</f>
        <v>#VALUE!</v>
      </c>
      <c r="Z311" s="6" t="e">
        <f aca="false">Y311/L311</f>
        <v>#VALUE!</v>
      </c>
      <c r="AA311" s="3" t="n">
        <f aca="false">X311-P311</f>
        <v>4.29</v>
      </c>
      <c r="AB311" s="6" t="n">
        <f aca="false">AA311/P311</f>
        <v>0.31359649122807</v>
      </c>
    </row>
    <row r="312" customFormat="false" ht="12.75" hidden="false" customHeight="false" outlineLevel="0" collapsed="false">
      <c r="A312" s="0" t="s">
        <v>369</v>
      </c>
      <c r="B312" s="0" t="n">
        <v>0</v>
      </c>
      <c r="C312" s="0" t="s">
        <v>31</v>
      </c>
      <c r="D312" s="0" t="s">
        <v>31</v>
      </c>
      <c r="E312" s="0" t="n">
        <v>1166</v>
      </c>
      <c r="F312" s="0" t="n">
        <v>945</v>
      </c>
      <c r="G312" s="0" t="n">
        <v>15</v>
      </c>
      <c r="H312" s="0" t="n">
        <v>6</v>
      </c>
      <c r="I312" s="0" t="n">
        <v>6</v>
      </c>
      <c r="J312" s="0" t="n">
        <v>4</v>
      </c>
      <c r="K312" s="0" t="n">
        <v>0.7</v>
      </c>
      <c r="L312" s="1" t="n">
        <v>245570.87</v>
      </c>
      <c r="M312" s="0" t="n">
        <v>244643.07</v>
      </c>
      <c r="N312" s="0" t="n">
        <v>927.8</v>
      </c>
      <c r="O312" s="0" t="n">
        <v>194190.85</v>
      </c>
      <c r="P312" s="1" t="n">
        <v>39.33</v>
      </c>
      <c r="Q312" s="0" t="n">
        <v>0</v>
      </c>
      <c r="R312" s="0" t="n">
        <v>5</v>
      </c>
      <c r="S312" s="0" t="s">
        <v>32</v>
      </c>
      <c r="T312" s="0" t="str">
        <f aca="false">IF(L312="inf","False","True")</f>
        <v>True</v>
      </c>
      <c r="U312" s="0" t="str">
        <f aca="false">IF(V312="inf","False","True")</f>
        <v>False</v>
      </c>
      <c r="V312" s="4" t="s">
        <v>37</v>
      </c>
      <c r="W312" s="4" t="s">
        <v>37</v>
      </c>
      <c r="X312" s="0" t="n">
        <v>21.18</v>
      </c>
      <c r="Y312" s="5" t="e">
        <f aca="false">V312-L312</f>
        <v>#VALUE!</v>
      </c>
      <c r="Z312" s="6" t="e">
        <f aca="false">Y312/L312</f>
        <v>#VALUE!</v>
      </c>
      <c r="AA312" s="3" t="n">
        <f aca="false">X312-P312</f>
        <v>-18.15</v>
      </c>
      <c r="AB312" s="6" t="n">
        <f aca="false">AA312/P312</f>
        <v>-0.461479786422578</v>
      </c>
    </row>
    <row r="313" customFormat="false" ht="12.75" hidden="false" customHeight="false" outlineLevel="0" collapsed="false">
      <c r="A313" s="0" t="s">
        <v>370</v>
      </c>
      <c r="B313" s="0" t="n">
        <v>1</v>
      </c>
      <c r="C313" s="0" t="s">
        <v>31</v>
      </c>
      <c r="D313" s="0" t="s">
        <v>31</v>
      </c>
      <c r="E313" s="0" t="n">
        <v>1166</v>
      </c>
      <c r="F313" s="0" t="n">
        <v>1023</v>
      </c>
      <c r="G313" s="0" t="n">
        <v>15</v>
      </c>
      <c r="H313" s="0" t="n">
        <v>6</v>
      </c>
      <c r="I313" s="0" t="n">
        <v>6</v>
      </c>
      <c r="J313" s="0" t="n">
        <v>4</v>
      </c>
      <c r="K313" s="0" t="n">
        <v>0.7</v>
      </c>
      <c r="L313" s="1" t="n">
        <v>745561.02</v>
      </c>
      <c r="M313" s="0" t="n">
        <v>744577.45</v>
      </c>
      <c r="N313" s="0" t="n">
        <v>983.57</v>
      </c>
      <c r="O313" s="0" t="n">
        <v>204369.52</v>
      </c>
      <c r="P313" s="1" t="n">
        <v>18.54</v>
      </c>
      <c r="Q313" s="0" t="n">
        <v>0</v>
      </c>
      <c r="R313" s="0" t="n">
        <v>5</v>
      </c>
      <c r="S313" s="0" t="s">
        <v>32</v>
      </c>
      <c r="T313" s="0" t="str">
        <f aca="false">IF(L313="inf","False","True")</f>
        <v>True</v>
      </c>
      <c r="U313" s="0" t="str">
        <f aca="false">IF(V313="inf","False","True")</f>
        <v>False</v>
      </c>
      <c r="V313" s="4" t="s">
        <v>37</v>
      </c>
      <c r="W313" s="4" t="s">
        <v>37</v>
      </c>
      <c r="X313" s="0" t="n">
        <v>17.57</v>
      </c>
      <c r="Y313" s="5" t="e">
        <f aca="false">V313-L313</f>
        <v>#VALUE!</v>
      </c>
      <c r="Z313" s="6" t="e">
        <f aca="false">Y313/L313</f>
        <v>#VALUE!</v>
      </c>
      <c r="AA313" s="3" t="n">
        <f aca="false">X313-P313</f>
        <v>-0.969999999999999</v>
      </c>
      <c r="AB313" s="6" t="n">
        <f aca="false">AA313/P313</f>
        <v>-0.0523193096008629</v>
      </c>
    </row>
    <row r="314" customFormat="false" ht="12.75" hidden="false" customHeight="false" outlineLevel="0" collapsed="false">
      <c r="A314" s="0" t="s">
        <v>371</v>
      </c>
      <c r="B314" s="0" t="n">
        <v>2</v>
      </c>
      <c r="C314" s="0" t="s">
        <v>31</v>
      </c>
      <c r="D314" s="0" t="s">
        <v>31</v>
      </c>
      <c r="E314" s="0" t="n">
        <v>1166</v>
      </c>
      <c r="F314" s="0" t="n">
        <v>1011</v>
      </c>
      <c r="G314" s="0" t="n">
        <v>15</v>
      </c>
      <c r="H314" s="0" t="n">
        <v>6</v>
      </c>
      <c r="I314" s="0" t="n">
        <v>6</v>
      </c>
      <c r="J314" s="0" t="n">
        <v>4</v>
      </c>
      <c r="K314" s="0" t="n">
        <v>0.7</v>
      </c>
      <c r="L314" s="1" t="n">
        <v>710877.36</v>
      </c>
      <c r="M314" s="0" t="n">
        <v>709904.36</v>
      </c>
      <c r="N314" s="0" t="n">
        <v>973</v>
      </c>
      <c r="O314" s="0" t="n">
        <v>207732.38</v>
      </c>
      <c r="P314" s="1" t="n">
        <v>15.49</v>
      </c>
      <c r="Q314" s="0" t="n">
        <v>0</v>
      </c>
      <c r="R314" s="0" t="n">
        <v>2</v>
      </c>
      <c r="S314" s="0" t="s">
        <v>32</v>
      </c>
      <c r="T314" s="0" t="str">
        <f aca="false">IF(L314="inf","False","True")</f>
        <v>True</v>
      </c>
      <c r="U314" s="0" t="str">
        <f aca="false">IF(V314="inf","False","True")</f>
        <v>True</v>
      </c>
      <c r="V314" s="4" t="n">
        <v>632629.97</v>
      </c>
      <c r="W314" s="4" t="n">
        <v>209988.12</v>
      </c>
      <c r="X314" s="0" t="n">
        <v>13.19</v>
      </c>
      <c r="Y314" s="5" t="n">
        <f aca="false">V314-L314</f>
        <v>-78247.39</v>
      </c>
      <c r="Z314" s="6" t="n">
        <f aca="false">Y314/L314</f>
        <v>-0.110071574089798</v>
      </c>
      <c r="AA314" s="3" t="n">
        <f aca="false">X314-P314</f>
        <v>-2.3</v>
      </c>
      <c r="AB314" s="6" t="n">
        <f aca="false">AA314/P314</f>
        <v>-0.148482892188509</v>
      </c>
    </row>
    <row r="315" customFormat="false" ht="12.75" hidden="false" customHeight="false" outlineLevel="0" collapsed="false">
      <c r="A315" s="0" t="s">
        <v>372</v>
      </c>
      <c r="B315" s="0" t="n">
        <v>3</v>
      </c>
      <c r="C315" s="0" t="s">
        <v>31</v>
      </c>
      <c r="D315" s="0" t="s">
        <v>31</v>
      </c>
      <c r="E315" s="0" t="n">
        <v>1166</v>
      </c>
      <c r="F315" s="0" t="n">
        <v>975</v>
      </c>
      <c r="G315" s="0" t="n">
        <v>15</v>
      </c>
      <c r="H315" s="0" t="n">
        <v>6</v>
      </c>
      <c r="I315" s="0" t="n">
        <v>6</v>
      </c>
      <c r="J315" s="0" t="n">
        <v>4</v>
      </c>
      <c r="K315" s="0" t="n">
        <v>0.7</v>
      </c>
      <c r="L315" s="1" t="n">
        <v>372278.83</v>
      </c>
      <c r="M315" s="0" t="n">
        <v>371329.33</v>
      </c>
      <c r="N315" s="0" t="n">
        <v>949.5</v>
      </c>
      <c r="O315" s="0" t="n">
        <v>202438.48</v>
      </c>
      <c r="P315" s="1" t="n">
        <v>26.01</v>
      </c>
      <c r="Q315" s="0" t="n">
        <v>0</v>
      </c>
      <c r="R315" s="0" t="n">
        <v>5</v>
      </c>
      <c r="S315" s="0" t="s">
        <v>32</v>
      </c>
      <c r="T315" s="0" t="str">
        <f aca="false">IF(L315="inf","False","True")</f>
        <v>True</v>
      </c>
      <c r="U315" s="0" t="str">
        <f aca="false">IF(V315="inf","False","True")</f>
        <v>False</v>
      </c>
      <c r="V315" s="4" t="s">
        <v>37</v>
      </c>
      <c r="W315" s="4" t="s">
        <v>37</v>
      </c>
      <c r="X315" s="0" t="n">
        <v>17.47</v>
      </c>
      <c r="Y315" s="5" t="e">
        <f aca="false">V315-L315</f>
        <v>#VALUE!</v>
      </c>
      <c r="Z315" s="6" t="e">
        <f aca="false">Y315/L315</f>
        <v>#VALUE!</v>
      </c>
      <c r="AA315" s="3" t="n">
        <f aca="false">X315-P315</f>
        <v>-8.54</v>
      </c>
      <c r="AB315" s="6" t="n">
        <f aca="false">AA315/P315</f>
        <v>-0.328335255670896</v>
      </c>
    </row>
    <row r="316" customFormat="false" ht="12.75" hidden="false" customHeight="false" outlineLevel="0" collapsed="false">
      <c r="A316" s="0" t="s">
        <v>373</v>
      </c>
      <c r="B316" s="0" t="n">
        <v>4</v>
      </c>
      <c r="C316" s="0" t="s">
        <v>31</v>
      </c>
      <c r="D316" s="0" t="s">
        <v>31</v>
      </c>
      <c r="E316" s="0" t="n">
        <v>1166</v>
      </c>
      <c r="F316" s="0" t="n">
        <v>1090</v>
      </c>
      <c r="G316" s="0" t="n">
        <v>15</v>
      </c>
      <c r="H316" s="0" t="n">
        <v>6</v>
      </c>
      <c r="I316" s="0" t="n">
        <v>6</v>
      </c>
      <c r="J316" s="0" t="n">
        <v>4</v>
      </c>
      <c r="K316" s="0" t="n">
        <v>0.7</v>
      </c>
      <c r="L316" s="1" t="n">
        <v>433117.41</v>
      </c>
      <c r="M316" s="0" t="n">
        <v>432066.25</v>
      </c>
      <c r="N316" s="0" t="n">
        <v>1051.16</v>
      </c>
      <c r="O316" s="0" t="n">
        <v>188923.14</v>
      </c>
      <c r="P316" s="1" t="n">
        <v>30.43</v>
      </c>
      <c r="Q316" s="0" t="n">
        <v>0</v>
      </c>
      <c r="R316" s="0" t="n">
        <v>11</v>
      </c>
      <c r="S316" s="0" t="s">
        <v>32</v>
      </c>
      <c r="T316" s="0" t="str">
        <f aca="false">IF(L316="inf","False","True")</f>
        <v>True</v>
      </c>
      <c r="U316" s="0" t="str">
        <f aca="false">IF(V316="inf","False","True")</f>
        <v>False</v>
      </c>
      <c r="V316" s="4" t="s">
        <v>37</v>
      </c>
      <c r="W316" s="4" t="s">
        <v>37</v>
      </c>
      <c r="X316" s="0" t="n">
        <v>15.62</v>
      </c>
      <c r="Y316" s="5" t="e">
        <f aca="false">V316-L316</f>
        <v>#VALUE!</v>
      </c>
      <c r="Z316" s="6" t="e">
        <f aca="false">Y316/L316</f>
        <v>#VALUE!</v>
      </c>
      <c r="AA316" s="3" t="n">
        <f aca="false">X316-P316</f>
        <v>-14.81</v>
      </c>
      <c r="AB316" s="6" t="n">
        <f aca="false">AA316/P316</f>
        <v>-0.486690765691752</v>
      </c>
    </row>
    <row r="317" customFormat="false" ht="12.75" hidden="false" customHeight="false" outlineLevel="0" collapsed="false">
      <c r="A317" s="0" t="s">
        <v>374</v>
      </c>
      <c r="B317" s="0" t="n">
        <v>0</v>
      </c>
      <c r="C317" s="0" t="s">
        <v>31</v>
      </c>
      <c r="D317" s="0" t="s">
        <v>31</v>
      </c>
      <c r="E317" s="0" t="n">
        <v>1666</v>
      </c>
      <c r="F317" s="0" t="n">
        <v>1354</v>
      </c>
      <c r="G317" s="0" t="n">
        <v>15</v>
      </c>
      <c r="H317" s="0" t="n">
        <v>6</v>
      </c>
      <c r="I317" s="0" t="n">
        <v>6</v>
      </c>
      <c r="J317" s="0" t="n">
        <v>4</v>
      </c>
      <c r="K317" s="0" t="n">
        <v>0.7</v>
      </c>
      <c r="L317" s="1" t="n">
        <v>350412.83</v>
      </c>
      <c r="M317" s="0" t="n">
        <v>349091.02</v>
      </c>
      <c r="N317" s="0" t="n">
        <v>1321.81</v>
      </c>
      <c r="O317" s="0" t="n">
        <v>277342.38</v>
      </c>
      <c r="P317" s="1" t="n">
        <v>42.12</v>
      </c>
      <c r="Q317" s="0" t="n">
        <v>0</v>
      </c>
      <c r="R317" s="0" t="n">
        <v>5</v>
      </c>
      <c r="S317" s="0" t="s">
        <v>32</v>
      </c>
      <c r="T317" s="0" t="str">
        <f aca="false">IF(L317="inf","False","True")</f>
        <v>True</v>
      </c>
      <c r="U317" s="0" t="str">
        <f aca="false">IF(V317="inf","False","True")</f>
        <v>False</v>
      </c>
      <c r="V317" s="4" t="s">
        <v>37</v>
      </c>
      <c r="W317" s="4" t="s">
        <v>37</v>
      </c>
      <c r="X317" s="0" t="n">
        <v>22.43</v>
      </c>
      <c r="Y317" s="5" t="e">
        <f aca="false">V317-L317</f>
        <v>#VALUE!</v>
      </c>
      <c r="Z317" s="6" t="e">
        <f aca="false">Y317/L317</f>
        <v>#VALUE!</v>
      </c>
      <c r="AA317" s="3" t="n">
        <f aca="false">X317-P317</f>
        <v>-19.69</v>
      </c>
      <c r="AB317" s="6" t="n">
        <f aca="false">AA317/P317</f>
        <v>-0.467473884140551</v>
      </c>
    </row>
    <row r="318" customFormat="false" ht="12.75" hidden="false" customHeight="false" outlineLevel="0" collapsed="false">
      <c r="A318" s="0" t="s">
        <v>375</v>
      </c>
      <c r="B318" s="0" t="n">
        <v>1</v>
      </c>
      <c r="C318" s="0" t="s">
        <v>31</v>
      </c>
      <c r="D318" s="0" t="s">
        <v>31</v>
      </c>
      <c r="E318" s="0" t="n">
        <v>1666</v>
      </c>
      <c r="F318" s="0" t="n">
        <v>1464</v>
      </c>
      <c r="G318" s="0" t="n">
        <v>15</v>
      </c>
      <c r="H318" s="0" t="n">
        <v>6</v>
      </c>
      <c r="I318" s="0" t="n">
        <v>6</v>
      </c>
      <c r="J318" s="0" t="n">
        <v>4</v>
      </c>
      <c r="K318" s="0" t="n">
        <v>0.7</v>
      </c>
      <c r="L318" s="1" t="n">
        <v>1046953.97</v>
      </c>
      <c r="M318" s="0" t="n">
        <v>1045545.97</v>
      </c>
      <c r="N318" s="0" t="n">
        <v>1408</v>
      </c>
      <c r="O318" s="0" t="n">
        <v>291817.29</v>
      </c>
      <c r="P318" s="1" t="n">
        <v>17.09</v>
      </c>
      <c r="Q318" s="0" t="n">
        <v>0</v>
      </c>
      <c r="R318" s="0" t="n">
        <v>5</v>
      </c>
      <c r="S318" s="0" t="s">
        <v>32</v>
      </c>
      <c r="T318" s="0" t="str">
        <f aca="false">IF(L318="inf","False","True")</f>
        <v>True</v>
      </c>
      <c r="U318" s="0" t="str">
        <f aca="false">IF(V318="inf","False","True")</f>
        <v>False</v>
      </c>
      <c r="V318" s="4" t="s">
        <v>37</v>
      </c>
      <c r="W318" s="4" t="s">
        <v>37</v>
      </c>
      <c r="X318" s="0" t="n">
        <v>17.89</v>
      </c>
      <c r="Y318" s="5" t="e">
        <f aca="false">V318-L318</f>
        <v>#VALUE!</v>
      </c>
      <c r="Z318" s="6" t="e">
        <f aca="false">Y318/L318</f>
        <v>#VALUE!</v>
      </c>
      <c r="AA318" s="3" t="n">
        <f aca="false">X318-P318</f>
        <v>0.800000000000001</v>
      </c>
      <c r="AB318" s="6" t="n">
        <f aca="false">AA318/P318</f>
        <v>0.0468110005851376</v>
      </c>
    </row>
    <row r="319" customFormat="false" ht="12.75" hidden="false" customHeight="false" outlineLevel="0" collapsed="false">
      <c r="A319" s="0" t="s">
        <v>376</v>
      </c>
      <c r="B319" s="0" t="n">
        <v>2</v>
      </c>
      <c r="C319" s="0" t="s">
        <v>31</v>
      </c>
      <c r="D319" s="0" t="s">
        <v>31</v>
      </c>
      <c r="E319" s="0" t="n">
        <v>1666</v>
      </c>
      <c r="F319" s="0" t="n">
        <v>1448</v>
      </c>
      <c r="G319" s="0" t="n">
        <v>15</v>
      </c>
      <c r="H319" s="0" t="n">
        <v>6</v>
      </c>
      <c r="I319" s="0" t="n">
        <v>6</v>
      </c>
      <c r="J319" s="0" t="n">
        <v>4</v>
      </c>
      <c r="K319" s="0" t="n">
        <v>0.7</v>
      </c>
      <c r="L319" s="1" t="n">
        <v>932885.28</v>
      </c>
      <c r="M319" s="0" t="n">
        <v>931494.1</v>
      </c>
      <c r="N319" s="0" t="n">
        <v>1391.18</v>
      </c>
      <c r="O319" s="0" t="n">
        <v>294475.97</v>
      </c>
      <c r="P319" s="1" t="n">
        <v>43.4</v>
      </c>
      <c r="Q319" s="0" t="n">
        <v>0</v>
      </c>
      <c r="R319" s="0" t="n">
        <v>8</v>
      </c>
      <c r="S319" s="0" t="s">
        <v>32</v>
      </c>
      <c r="T319" s="0" t="str">
        <f aca="false">IF(L319="inf","False","True")</f>
        <v>True</v>
      </c>
      <c r="U319" s="0" t="str">
        <f aca="false">IF(V319="inf","False","True")</f>
        <v>False</v>
      </c>
      <c r="V319" s="4" t="s">
        <v>37</v>
      </c>
      <c r="W319" s="4" t="s">
        <v>37</v>
      </c>
      <c r="X319" s="0" t="n">
        <v>18.47</v>
      </c>
      <c r="Y319" s="5" t="e">
        <f aca="false">V319-L319</f>
        <v>#VALUE!</v>
      </c>
      <c r="Z319" s="6" t="e">
        <f aca="false">Y319/L319</f>
        <v>#VALUE!</v>
      </c>
      <c r="AA319" s="3" t="n">
        <f aca="false">X319-P319</f>
        <v>-24.93</v>
      </c>
      <c r="AB319" s="6" t="n">
        <f aca="false">AA319/P319</f>
        <v>-0.574423963133641</v>
      </c>
    </row>
    <row r="320" customFormat="false" ht="12.75" hidden="false" customHeight="false" outlineLevel="0" collapsed="false">
      <c r="A320" s="0" t="s">
        <v>377</v>
      </c>
      <c r="B320" s="0" t="n">
        <v>3</v>
      </c>
      <c r="C320" s="0" t="s">
        <v>31</v>
      </c>
      <c r="D320" s="0" t="s">
        <v>31</v>
      </c>
      <c r="E320" s="0" t="n">
        <v>1666</v>
      </c>
      <c r="F320" s="0" t="n">
        <v>1397</v>
      </c>
      <c r="G320" s="0" t="n">
        <v>15</v>
      </c>
      <c r="H320" s="0" t="n">
        <v>6</v>
      </c>
      <c r="I320" s="0" t="n">
        <v>6</v>
      </c>
      <c r="J320" s="0" t="n">
        <v>4</v>
      </c>
      <c r="K320" s="0" t="n">
        <v>0.7</v>
      </c>
      <c r="L320" s="1" t="n">
        <v>507424.57</v>
      </c>
      <c r="M320" s="0" t="n">
        <v>506071.3</v>
      </c>
      <c r="N320" s="0" t="n">
        <v>1353.27</v>
      </c>
      <c r="O320" s="0" t="n">
        <v>294778.02</v>
      </c>
      <c r="P320" s="1" t="n">
        <v>26.47</v>
      </c>
      <c r="Q320" s="0" t="n">
        <v>0</v>
      </c>
      <c r="R320" s="0" t="n">
        <v>5</v>
      </c>
      <c r="S320" s="0" t="s">
        <v>32</v>
      </c>
      <c r="T320" s="0" t="str">
        <f aca="false">IF(L320="inf","False","True")</f>
        <v>True</v>
      </c>
      <c r="U320" s="0" t="str">
        <f aca="false">IF(V320="inf","False","True")</f>
        <v>True</v>
      </c>
      <c r="V320" s="4" t="n">
        <v>277233.35</v>
      </c>
      <c r="W320" s="4" t="n">
        <v>295672.48</v>
      </c>
      <c r="X320" s="0" t="n">
        <v>0.67</v>
      </c>
      <c r="Y320" s="5" t="n">
        <f aca="false">V320-L320</f>
        <v>-230191.22</v>
      </c>
      <c r="Z320" s="6" t="n">
        <f aca="false">Y320/L320</f>
        <v>-0.45364618429888</v>
      </c>
      <c r="AA320" s="3" t="n">
        <f aca="false">X320-P320</f>
        <v>-25.8</v>
      </c>
      <c r="AB320" s="6" t="n">
        <f aca="false">AA320/P320</f>
        <v>-0.974688326407253</v>
      </c>
    </row>
    <row r="321" customFormat="false" ht="12.75" hidden="false" customHeight="false" outlineLevel="0" collapsed="false">
      <c r="A321" s="0" t="s">
        <v>378</v>
      </c>
      <c r="B321" s="0" t="n">
        <v>4</v>
      </c>
      <c r="C321" s="0" t="s">
        <v>31</v>
      </c>
      <c r="D321" s="0" t="s">
        <v>31</v>
      </c>
      <c r="E321" s="0" t="n">
        <v>1666</v>
      </c>
      <c r="F321" s="0" t="n">
        <v>1558</v>
      </c>
      <c r="G321" s="0" t="n">
        <v>15</v>
      </c>
      <c r="H321" s="0" t="n">
        <v>6</v>
      </c>
      <c r="I321" s="0" t="n">
        <v>6</v>
      </c>
      <c r="J321" s="0" t="n">
        <v>4</v>
      </c>
      <c r="K321" s="0" t="n">
        <v>0.7</v>
      </c>
      <c r="L321" s="1" t="n">
        <v>658926.17</v>
      </c>
      <c r="M321" s="0" t="n">
        <v>657446.81</v>
      </c>
      <c r="N321" s="0" t="n">
        <v>1479.36</v>
      </c>
      <c r="O321" s="0" t="n">
        <v>270938.79</v>
      </c>
      <c r="P321" s="1" t="n">
        <v>11.19</v>
      </c>
      <c r="Q321" s="0" t="n">
        <v>0</v>
      </c>
      <c r="R321" s="0" t="n">
        <v>2</v>
      </c>
      <c r="S321" s="0" t="s">
        <v>32</v>
      </c>
      <c r="T321" s="0" t="str">
        <f aca="false">IF(L321="inf","False","True")</f>
        <v>True</v>
      </c>
      <c r="U321" s="0" t="str">
        <f aca="false">IF(V321="inf","False","True")</f>
        <v>False</v>
      </c>
      <c r="V321" s="4" t="s">
        <v>37</v>
      </c>
      <c r="W321" s="4" t="s">
        <v>37</v>
      </c>
      <c r="X321" s="0" t="n">
        <v>16.22</v>
      </c>
      <c r="Y321" s="5" t="e">
        <f aca="false">V321-L321</f>
        <v>#VALUE!</v>
      </c>
      <c r="Z321" s="6" t="e">
        <f aca="false">Y321/L321</f>
        <v>#VALUE!</v>
      </c>
      <c r="AA321" s="3" t="n">
        <f aca="false">X321-P321</f>
        <v>5.03</v>
      </c>
      <c r="AB321" s="6" t="n">
        <f aca="false">AA321/P321</f>
        <v>0.449508489722967</v>
      </c>
    </row>
    <row r="322" customFormat="false" ht="12.75" hidden="false" customHeight="false" outlineLevel="0" collapsed="false">
      <c r="A322" s="0" t="s">
        <v>379</v>
      </c>
      <c r="B322" s="0" t="n">
        <v>0</v>
      </c>
      <c r="C322" s="0" t="s">
        <v>31</v>
      </c>
      <c r="D322" s="0" t="s">
        <v>31</v>
      </c>
      <c r="E322" s="0" t="n">
        <v>500</v>
      </c>
      <c r="F322" s="0" t="n">
        <v>467</v>
      </c>
      <c r="G322" s="0" t="n">
        <v>15</v>
      </c>
      <c r="H322" s="0" t="n">
        <v>6</v>
      </c>
      <c r="I322" s="0" t="n">
        <v>6</v>
      </c>
      <c r="J322" s="0" t="n">
        <v>8</v>
      </c>
      <c r="K322" s="0" t="n">
        <v>0.7</v>
      </c>
      <c r="L322" s="1" t="n">
        <v>467</v>
      </c>
      <c r="M322" s="0" t="n">
        <v>0</v>
      </c>
      <c r="N322" s="0" t="n">
        <v>467</v>
      </c>
      <c r="O322" s="0" t="n">
        <v>92518</v>
      </c>
      <c r="P322" s="1" t="n">
        <v>8.24</v>
      </c>
      <c r="Q322" s="0" t="n">
        <v>0</v>
      </c>
      <c r="R322" s="0" t="n">
        <v>1</v>
      </c>
      <c r="S322" s="0" t="s">
        <v>42</v>
      </c>
      <c r="T322" s="0" t="str">
        <f aca="false">IF(L322="inf","False","True")</f>
        <v>True</v>
      </c>
      <c r="U322" s="0" t="str">
        <f aca="false">IF(V322="inf","False","True")</f>
        <v>True</v>
      </c>
      <c r="V322" s="4" t="n">
        <v>127387.55</v>
      </c>
      <c r="W322" s="4" t="n">
        <v>86913.67</v>
      </c>
      <c r="X322" s="0" t="n">
        <v>29.38</v>
      </c>
      <c r="Y322" s="5" t="n">
        <f aca="false">V322-L322</f>
        <v>126920.55</v>
      </c>
      <c r="Z322" s="6" t="n">
        <f aca="false">Y322/L322</f>
        <v>271.778479657388</v>
      </c>
      <c r="AA322" s="3" t="n">
        <f aca="false">X322-P322</f>
        <v>21.14</v>
      </c>
      <c r="AB322" s="6" t="n">
        <f aca="false">AA322/P322</f>
        <v>2.56553398058252</v>
      </c>
    </row>
    <row r="323" customFormat="false" ht="12.75" hidden="false" customHeight="false" outlineLevel="0" collapsed="false">
      <c r="A323" s="0" t="s">
        <v>380</v>
      </c>
      <c r="B323" s="0" t="n">
        <v>1</v>
      </c>
      <c r="C323" s="0" t="s">
        <v>31</v>
      </c>
      <c r="D323" s="0" t="s">
        <v>31</v>
      </c>
      <c r="E323" s="0" t="n">
        <v>500</v>
      </c>
      <c r="F323" s="0" t="n">
        <v>510</v>
      </c>
      <c r="G323" s="0" t="n">
        <v>15</v>
      </c>
      <c r="H323" s="0" t="n">
        <v>6</v>
      </c>
      <c r="I323" s="0" t="n">
        <v>6</v>
      </c>
      <c r="J323" s="0" t="n">
        <v>8</v>
      </c>
      <c r="K323" s="0" t="n">
        <v>0.7</v>
      </c>
      <c r="L323" s="1" t="n">
        <v>510</v>
      </c>
      <c r="M323" s="0" t="n">
        <v>0</v>
      </c>
      <c r="N323" s="0" t="n">
        <v>510</v>
      </c>
      <c r="O323" s="0" t="n">
        <v>92986</v>
      </c>
      <c r="P323" s="1" t="n">
        <v>8.13</v>
      </c>
      <c r="Q323" s="0" t="n">
        <v>0</v>
      </c>
      <c r="R323" s="0" t="n">
        <v>1</v>
      </c>
      <c r="S323" s="0" t="s">
        <v>42</v>
      </c>
      <c r="T323" s="0" t="str">
        <f aca="false">IF(L323="inf","False","True")</f>
        <v>True</v>
      </c>
      <c r="U323" s="0" t="str">
        <f aca="false">IF(V323="inf","False","True")</f>
        <v>True</v>
      </c>
      <c r="V323" s="4" t="n">
        <v>86073.03</v>
      </c>
      <c r="W323" s="4" t="n">
        <v>88519.42</v>
      </c>
      <c r="X323" s="0" t="n">
        <v>182.88</v>
      </c>
      <c r="Y323" s="5" t="n">
        <f aca="false">V323-L323</f>
        <v>85563.03</v>
      </c>
      <c r="Z323" s="6" t="n">
        <f aca="false">Y323/L323</f>
        <v>167.770647058824</v>
      </c>
      <c r="AA323" s="3" t="n">
        <f aca="false">X323-P323</f>
        <v>174.75</v>
      </c>
      <c r="AB323" s="6" t="n">
        <f aca="false">AA323/P323</f>
        <v>21.4944649446494</v>
      </c>
    </row>
    <row r="324" customFormat="false" ht="12.75" hidden="false" customHeight="false" outlineLevel="0" collapsed="false">
      <c r="A324" s="0" t="s">
        <v>381</v>
      </c>
      <c r="B324" s="0" t="n">
        <v>2</v>
      </c>
      <c r="C324" s="0" t="s">
        <v>31</v>
      </c>
      <c r="D324" s="0" t="s">
        <v>31</v>
      </c>
      <c r="E324" s="0" t="n">
        <v>500</v>
      </c>
      <c r="F324" s="0" t="n">
        <v>472</v>
      </c>
      <c r="G324" s="0" t="n">
        <v>15</v>
      </c>
      <c r="H324" s="0" t="n">
        <v>6</v>
      </c>
      <c r="I324" s="0" t="n">
        <v>6</v>
      </c>
      <c r="J324" s="0" t="n">
        <v>8</v>
      </c>
      <c r="K324" s="0" t="n">
        <v>0.7</v>
      </c>
      <c r="L324" s="1" t="n">
        <v>472</v>
      </c>
      <c r="M324" s="0" t="n">
        <v>0</v>
      </c>
      <c r="N324" s="0" t="n">
        <v>472</v>
      </c>
      <c r="O324" s="0" t="n">
        <v>84858</v>
      </c>
      <c r="P324" s="1" t="n">
        <v>14.14</v>
      </c>
      <c r="Q324" s="0" t="n">
        <v>0</v>
      </c>
      <c r="R324" s="0" t="n">
        <v>5</v>
      </c>
      <c r="S324" s="0" t="s">
        <v>42</v>
      </c>
      <c r="T324" s="0" t="str">
        <f aca="false">IF(L324="inf","False","True")</f>
        <v>True</v>
      </c>
      <c r="U324" s="0" t="str">
        <f aca="false">IF(V324="inf","False","True")</f>
        <v>True</v>
      </c>
      <c r="V324" s="4" t="n">
        <v>217474.46</v>
      </c>
      <c r="W324" s="4" t="n">
        <v>76991.35</v>
      </c>
      <c r="X324" s="0" t="n">
        <v>11.04</v>
      </c>
      <c r="Y324" s="5" t="n">
        <f aca="false">V324-L324</f>
        <v>217002.46</v>
      </c>
      <c r="Z324" s="6" t="n">
        <f aca="false">Y324/L324</f>
        <v>459.750974576271</v>
      </c>
      <c r="AA324" s="3" t="n">
        <f aca="false">X324-P324</f>
        <v>-3.1</v>
      </c>
      <c r="AB324" s="6" t="n">
        <f aca="false">AA324/P324</f>
        <v>-0.219236209335219</v>
      </c>
    </row>
    <row r="325" customFormat="false" ht="12.75" hidden="false" customHeight="false" outlineLevel="0" collapsed="false">
      <c r="A325" s="0" t="s">
        <v>382</v>
      </c>
      <c r="B325" s="0" t="n">
        <v>3</v>
      </c>
      <c r="C325" s="0" t="s">
        <v>31</v>
      </c>
      <c r="D325" s="0" t="s">
        <v>31</v>
      </c>
      <c r="E325" s="0" t="n">
        <v>500</v>
      </c>
      <c r="F325" s="0" t="n">
        <v>474</v>
      </c>
      <c r="G325" s="0" t="n">
        <v>15</v>
      </c>
      <c r="H325" s="0" t="n">
        <v>6</v>
      </c>
      <c r="I325" s="0" t="n">
        <v>6</v>
      </c>
      <c r="J325" s="0" t="n">
        <v>8</v>
      </c>
      <c r="K325" s="0" t="n">
        <v>0.7</v>
      </c>
      <c r="L325" s="1" t="n">
        <v>53110.36</v>
      </c>
      <c r="M325" s="0" t="n">
        <v>52643.88</v>
      </c>
      <c r="N325" s="0" t="n">
        <v>466.47</v>
      </c>
      <c r="O325" s="0" t="n">
        <v>80336.57</v>
      </c>
      <c r="P325" s="1" t="n">
        <v>63.51</v>
      </c>
      <c r="Q325" s="0" t="n">
        <v>0</v>
      </c>
      <c r="R325" s="0" t="n">
        <v>2</v>
      </c>
      <c r="S325" s="0" t="s">
        <v>383</v>
      </c>
      <c r="T325" s="0" t="str">
        <f aca="false">IF(L325="inf","False","True")</f>
        <v>True</v>
      </c>
      <c r="U325" s="0" t="str">
        <f aca="false">IF(V325="inf","False","True")</f>
        <v>True</v>
      </c>
      <c r="V325" s="4" t="n">
        <v>160026.48</v>
      </c>
      <c r="W325" s="4" t="n">
        <v>77588.39</v>
      </c>
      <c r="X325" s="0" t="n">
        <v>70.96</v>
      </c>
      <c r="Y325" s="5" t="n">
        <f aca="false">V325-L325</f>
        <v>106916.12</v>
      </c>
      <c r="Z325" s="6" t="n">
        <f aca="false">Y325/L325</f>
        <v>2.01309349061087</v>
      </c>
      <c r="AA325" s="3" t="n">
        <f aca="false">X325-P325</f>
        <v>7.45</v>
      </c>
      <c r="AB325" s="6" t="n">
        <f aca="false">AA325/P325</f>
        <v>0.117304361517871</v>
      </c>
    </row>
    <row r="326" customFormat="false" ht="12.75" hidden="false" customHeight="false" outlineLevel="0" collapsed="false">
      <c r="A326" s="0" t="s">
        <v>384</v>
      </c>
      <c r="B326" s="0" t="n">
        <v>4</v>
      </c>
      <c r="C326" s="0" t="s">
        <v>31</v>
      </c>
      <c r="D326" s="0" t="s">
        <v>31</v>
      </c>
      <c r="E326" s="0" t="n">
        <v>500</v>
      </c>
      <c r="F326" s="0" t="n">
        <v>515</v>
      </c>
      <c r="G326" s="0" t="n">
        <v>15</v>
      </c>
      <c r="H326" s="0" t="n">
        <v>6</v>
      </c>
      <c r="I326" s="0" t="n">
        <v>6</v>
      </c>
      <c r="J326" s="0" t="n">
        <v>8</v>
      </c>
      <c r="K326" s="0" t="n">
        <v>0.7</v>
      </c>
      <c r="L326" s="1" t="n">
        <v>515</v>
      </c>
      <c r="M326" s="0" t="n">
        <v>0</v>
      </c>
      <c r="N326" s="0" t="n">
        <v>515</v>
      </c>
      <c r="O326" s="0" t="n">
        <v>91997</v>
      </c>
      <c r="P326" s="1" t="n">
        <v>8.74</v>
      </c>
      <c r="Q326" s="0" t="n">
        <v>0</v>
      </c>
      <c r="R326" s="0" t="n">
        <v>1</v>
      </c>
      <c r="S326" s="0" t="s">
        <v>42</v>
      </c>
      <c r="T326" s="0" t="str">
        <f aca="false">IF(L326="inf","False","True")</f>
        <v>True</v>
      </c>
      <c r="U326" s="0" t="str">
        <f aca="false">IF(V326="inf","False","True")</f>
        <v>False</v>
      </c>
      <c r="V326" s="4" t="s">
        <v>37</v>
      </c>
      <c r="W326" s="4" t="s">
        <v>37</v>
      </c>
      <c r="X326" s="0" t="n">
        <v>49.27</v>
      </c>
      <c r="Y326" s="5" t="e">
        <f aca="false">V326-L326</f>
        <v>#VALUE!</v>
      </c>
      <c r="Z326" s="6" t="e">
        <f aca="false">Y326/L326</f>
        <v>#VALUE!</v>
      </c>
      <c r="AA326" s="3" t="n">
        <f aca="false">X326-P326</f>
        <v>40.53</v>
      </c>
      <c r="AB326" s="6" t="n">
        <f aca="false">AA326/P326</f>
        <v>4.63729977116705</v>
      </c>
    </row>
    <row r="327" customFormat="false" ht="12.75" hidden="false" customHeight="false" outlineLevel="0" collapsed="false">
      <c r="A327" s="0" t="s">
        <v>385</v>
      </c>
      <c r="B327" s="0" t="n">
        <v>0</v>
      </c>
      <c r="C327" s="0" t="s">
        <v>31</v>
      </c>
      <c r="D327" s="0" t="s">
        <v>31</v>
      </c>
      <c r="E327" s="0" t="n">
        <v>833</v>
      </c>
      <c r="F327" s="0" t="n">
        <v>783</v>
      </c>
      <c r="G327" s="0" t="n">
        <v>15</v>
      </c>
      <c r="H327" s="0" t="n">
        <v>6</v>
      </c>
      <c r="I327" s="0" t="n">
        <v>6</v>
      </c>
      <c r="J327" s="0" t="n">
        <v>8</v>
      </c>
      <c r="K327" s="0" t="n">
        <v>0.7</v>
      </c>
      <c r="L327" s="1" t="n">
        <v>783</v>
      </c>
      <c r="M327" s="0" t="n">
        <v>0</v>
      </c>
      <c r="N327" s="0" t="n">
        <v>783</v>
      </c>
      <c r="O327" s="0" t="n">
        <v>154220</v>
      </c>
      <c r="P327" s="1" t="n">
        <v>8.44</v>
      </c>
      <c r="Q327" s="0" t="n">
        <v>0</v>
      </c>
      <c r="R327" s="0" t="n">
        <v>1</v>
      </c>
      <c r="S327" s="0" t="s">
        <v>42</v>
      </c>
      <c r="T327" s="0" t="str">
        <f aca="false">IF(L327="inf","False","True")</f>
        <v>True</v>
      </c>
      <c r="U327" s="0" t="str">
        <f aca="false">IF(V327="inf","False","True")</f>
        <v>True</v>
      </c>
      <c r="V327" s="4" t="n">
        <v>120889.91</v>
      </c>
      <c r="W327" s="4" t="n">
        <v>150721.59</v>
      </c>
      <c r="X327" s="0" t="n">
        <v>25.38</v>
      </c>
      <c r="Y327" s="5" t="n">
        <f aca="false">V327-L327</f>
        <v>120106.91</v>
      </c>
      <c r="Z327" s="6" t="n">
        <f aca="false">Y327/L327</f>
        <v>153.393243933589</v>
      </c>
      <c r="AA327" s="3" t="n">
        <f aca="false">X327-P327</f>
        <v>16.94</v>
      </c>
      <c r="AB327" s="6" t="n">
        <f aca="false">AA327/P327</f>
        <v>2.00710900473934</v>
      </c>
    </row>
    <row r="328" customFormat="false" ht="12.75" hidden="false" customHeight="false" outlineLevel="0" collapsed="false">
      <c r="A328" s="0" t="s">
        <v>386</v>
      </c>
      <c r="B328" s="0" t="n">
        <v>1</v>
      </c>
      <c r="C328" s="0" t="s">
        <v>31</v>
      </c>
      <c r="D328" s="0" t="s">
        <v>31</v>
      </c>
      <c r="E328" s="0" t="n">
        <v>833</v>
      </c>
      <c r="F328" s="0" t="n">
        <v>855</v>
      </c>
      <c r="G328" s="0" t="n">
        <v>15</v>
      </c>
      <c r="H328" s="0" t="n">
        <v>6</v>
      </c>
      <c r="I328" s="0" t="n">
        <v>6</v>
      </c>
      <c r="J328" s="0" t="n">
        <v>8</v>
      </c>
      <c r="K328" s="0" t="n">
        <v>0.7</v>
      </c>
      <c r="L328" s="1" t="n">
        <v>855</v>
      </c>
      <c r="M328" s="0" t="n">
        <v>0</v>
      </c>
      <c r="N328" s="0" t="n">
        <v>855</v>
      </c>
      <c r="O328" s="0" t="n">
        <v>155013</v>
      </c>
      <c r="P328" s="1" t="n">
        <v>8.57</v>
      </c>
      <c r="Q328" s="0" t="n">
        <v>0</v>
      </c>
      <c r="R328" s="0" t="n">
        <v>1</v>
      </c>
      <c r="S328" s="0" t="s">
        <v>42</v>
      </c>
      <c r="T328" s="0" t="str">
        <f aca="false">IF(L328="inf","False","True")</f>
        <v>True</v>
      </c>
      <c r="U328" s="0" t="str">
        <f aca="false">IF(V328="inf","False","True")</f>
        <v>True</v>
      </c>
      <c r="V328" s="4" t="n">
        <v>403794.93</v>
      </c>
      <c r="W328" s="4" t="n">
        <v>138807.26</v>
      </c>
      <c r="X328" s="0" t="n">
        <v>47.11</v>
      </c>
      <c r="Y328" s="5" t="n">
        <f aca="false">V328-L328</f>
        <v>402939.93</v>
      </c>
      <c r="Z328" s="6" t="n">
        <f aca="false">Y328/L328</f>
        <v>471.274771929825</v>
      </c>
      <c r="AA328" s="3" t="n">
        <f aca="false">X328-P328</f>
        <v>38.54</v>
      </c>
      <c r="AB328" s="6" t="n">
        <f aca="false">AA328/P328</f>
        <v>4.49708284714119</v>
      </c>
    </row>
    <row r="329" customFormat="false" ht="12.75" hidden="false" customHeight="false" outlineLevel="0" collapsed="false">
      <c r="A329" s="0" t="s">
        <v>387</v>
      </c>
      <c r="B329" s="0" t="n">
        <v>2</v>
      </c>
      <c r="C329" s="0" t="s">
        <v>31</v>
      </c>
      <c r="D329" s="0" t="s">
        <v>31</v>
      </c>
      <c r="E329" s="0" t="n">
        <v>833</v>
      </c>
      <c r="F329" s="0" t="n">
        <v>790</v>
      </c>
      <c r="G329" s="0" t="n">
        <v>15</v>
      </c>
      <c r="H329" s="0" t="n">
        <v>6</v>
      </c>
      <c r="I329" s="0" t="n">
        <v>6</v>
      </c>
      <c r="J329" s="0" t="n">
        <v>8</v>
      </c>
      <c r="K329" s="0" t="n">
        <v>0.7</v>
      </c>
      <c r="L329" s="1" t="n">
        <v>790</v>
      </c>
      <c r="M329" s="0" t="n">
        <v>0</v>
      </c>
      <c r="N329" s="0" t="n">
        <v>790</v>
      </c>
      <c r="O329" s="0" t="n">
        <v>141464</v>
      </c>
      <c r="P329" s="1" t="n">
        <v>9.84</v>
      </c>
      <c r="Q329" s="0" t="n">
        <v>0</v>
      </c>
      <c r="R329" s="0" t="n">
        <v>1</v>
      </c>
      <c r="S329" s="0" t="s">
        <v>42</v>
      </c>
      <c r="T329" s="0" t="str">
        <f aca="false">IF(L329="inf","False","True")</f>
        <v>True</v>
      </c>
      <c r="U329" s="0" t="str">
        <f aca="false">IF(V329="inf","False","True")</f>
        <v>True</v>
      </c>
      <c r="V329" s="4" t="n">
        <v>484468.86</v>
      </c>
      <c r="W329" s="4" t="n">
        <v>127839.8</v>
      </c>
      <c r="X329" s="0" t="n">
        <v>43.47</v>
      </c>
      <c r="Y329" s="5" t="n">
        <f aca="false">V329-L329</f>
        <v>483678.86</v>
      </c>
      <c r="Z329" s="6" t="n">
        <f aca="false">Y329/L329</f>
        <v>612.251721518987</v>
      </c>
      <c r="AA329" s="3" t="n">
        <f aca="false">X329-P329</f>
        <v>33.63</v>
      </c>
      <c r="AB329" s="6" t="n">
        <f aca="false">AA329/P329</f>
        <v>3.41768292682927</v>
      </c>
    </row>
    <row r="330" customFormat="false" ht="12.75" hidden="false" customHeight="false" outlineLevel="0" collapsed="false">
      <c r="A330" s="0" t="s">
        <v>388</v>
      </c>
      <c r="B330" s="0" t="n">
        <v>3</v>
      </c>
      <c r="C330" s="0" t="s">
        <v>31</v>
      </c>
      <c r="D330" s="0" t="s">
        <v>31</v>
      </c>
      <c r="E330" s="0" t="n">
        <v>833</v>
      </c>
      <c r="F330" s="0" t="n">
        <v>794</v>
      </c>
      <c r="G330" s="0" t="n">
        <v>15</v>
      </c>
      <c r="H330" s="0" t="n">
        <v>6</v>
      </c>
      <c r="I330" s="0" t="n">
        <v>6</v>
      </c>
      <c r="J330" s="0" t="n">
        <v>8</v>
      </c>
      <c r="K330" s="0" t="n">
        <v>0.7</v>
      </c>
      <c r="L330" s="1" t="n">
        <v>312398.51</v>
      </c>
      <c r="M330" s="0" t="n">
        <v>311668.62</v>
      </c>
      <c r="N330" s="0" t="n">
        <v>729.89</v>
      </c>
      <c r="O330" s="0" t="n">
        <v>127776.69</v>
      </c>
      <c r="P330" s="1" t="n">
        <v>620.15</v>
      </c>
      <c r="Q330" s="0" t="n">
        <v>0.04</v>
      </c>
      <c r="R330" s="0" t="n">
        <v>4</v>
      </c>
      <c r="S330" s="0" t="s">
        <v>32</v>
      </c>
      <c r="T330" s="0" t="str">
        <f aca="false">IF(L330="inf","False","True")</f>
        <v>True</v>
      </c>
      <c r="U330" s="0" t="str">
        <f aca="false">IF(V330="inf","False","True")</f>
        <v>True</v>
      </c>
      <c r="V330" s="4" t="n">
        <v>302435.95</v>
      </c>
      <c r="W330" s="4" t="n">
        <v>128894.17</v>
      </c>
      <c r="X330" s="0" t="n">
        <v>46.69</v>
      </c>
      <c r="Y330" s="5" t="n">
        <f aca="false">V330-L330</f>
        <v>-9962.56</v>
      </c>
      <c r="Z330" s="6" t="n">
        <f aca="false">Y330/L330</f>
        <v>-0.0318905490298273</v>
      </c>
      <c r="AA330" s="3" t="n">
        <f aca="false">X330-P330</f>
        <v>-573.46</v>
      </c>
      <c r="AB330" s="6" t="n">
        <f aca="false">AA330/P330</f>
        <v>-0.924711763283077</v>
      </c>
    </row>
    <row r="331" customFormat="false" ht="12.75" hidden="false" customHeight="false" outlineLevel="0" collapsed="false">
      <c r="A331" s="0" t="s">
        <v>389</v>
      </c>
      <c r="B331" s="0" t="n">
        <v>4</v>
      </c>
      <c r="C331" s="0" t="s">
        <v>31</v>
      </c>
      <c r="D331" s="0" t="s">
        <v>31</v>
      </c>
      <c r="E331" s="0" t="n">
        <v>833</v>
      </c>
      <c r="F331" s="0" t="n">
        <v>864</v>
      </c>
      <c r="G331" s="0" t="n">
        <v>15</v>
      </c>
      <c r="H331" s="0" t="n">
        <v>6</v>
      </c>
      <c r="I331" s="0" t="n">
        <v>6</v>
      </c>
      <c r="J331" s="0" t="n">
        <v>8</v>
      </c>
      <c r="K331" s="0" t="n">
        <v>0.7</v>
      </c>
      <c r="L331" s="1" t="n">
        <v>864</v>
      </c>
      <c r="M331" s="0" t="n">
        <v>0</v>
      </c>
      <c r="N331" s="0" t="n">
        <v>864</v>
      </c>
      <c r="O331" s="0" t="n">
        <v>153261</v>
      </c>
      <c r="P331" s="1" t="n">
        <v>8.32</v>
      </c>
      <c r="Q331" s="0" t="n">
        <v>0</v>
      </c>
      <c r="R331" s="0" t="n">
        <v>1</v>
      </c>
      <c r="S331" s="0" t="s">
        <v>42</v>
      </c>
      <c r="T331" s="0" t="str">
        <f aca="false">IF(L331="inf","False","True")</f>
        <v>True</v>
      </c>
      <c r="U331" s="0" t="str">
        <f aca="false">IF(V331="inf","False","True")</f>
        <v>True</v>
      </c>
      <c r="V331" s="4" t="n">
        <v>75505.34</v>
      </c>
      <c r="W331" s="4" t="n">
        <v>145249.12</v>
      </c>
      <c r="X331" s="0" t="n">
        <v>289.27</v>
      </c>
      <c r="Y331" s="5" t="n">
        <f aca="false">V331-L331</f>
        <v>74641.34</v>
      </c>
      <c r="Z331" s="6" t="n">
        <f aca="false">Y331/L331</f>
        <v>86.3904398148148</v>
      </c>
      <c r="AA331" s="3" t="n">
        <f aca="false">X331-P331</f>
        <v>280.95</v>
      </c>
      <c r="AB331" s="6" t="n">
        <f aca="false">AA331/P331</f>
        <v>33.7680288461539</v>
      </c>
    </row>
    <row r="332" customFormat="false" ht="12.75" hidden="false" customHeight="false" outlineLevel="0" collapsed="false">
      <c r="A332" s="0" t="s">
        <v>390</v>
      </c>
      <c r="B332" s="0" t="n">
        <v>0</v>
      </c>
      <c r="C332" s="0" t="s">
        <v>31</v>
      </c>
      <c r="D332" s="0" t="s">
        <v>31</v>
      </c>
      <c r="E332" s="0" t="n">
        <v>1166</v>
      </c>
      <c r="F332" s="0" t="n">
        <v>1098</v>
      </c>
      <c r="G332" s="0" t="n">
        <v>15</v>
      </c>
      <c r="H332" s="0" t="n">
        <v>6</v>
      </c>
      <c r="I332" s="0" t="n">
        <v>6</v>
      </c>
      <c r="J332" s="0" t="n">
        <v>8</v>
      </c>
      <c r="K332" s="0" t="n">
        <v>0.7</v>
      </c>
      <c r="L332" s="1" t="n">
        <v>1098</v>
      </c>
      <c r="M332" s="0" t="n">
        <v>0</v>
      </c>
      <c r="N332" s="0" t="n">
        <v>1098</v>
      </c>
      <c r="O332" s="0" t="n">
        <v>215930</v>
      </c>
      <c r="P332" s="1" t="n">
        <v>8.11</v>
      </c>
      <c r="Q332" s="0" t="n">
        <v>0</v>
      </c>
      <c r="R332" s="0" t="n">
        <v>1</v>
      </c>
      <c r="S332" s="0" t="s">
        <v>42</v>
      </c>
      <c r="T332" s="0" t="str">
        <f aca="false">IF(L332="inf","False","True")</f>
        <v>True</v>
      </c>
      <c r="U332" s="0" t="str">
        <f aca="false">IF(V332="inf","False","True")</f>
        <v>True</v>
      </c>
      <c r="V332" s="4" t="n">
        <v>581468.32</v>
      </c>
      <c r="W332" s="4" t="n">
        <v>195286.05</v>
      </c>
      <c r="X332" s="0" t="n">
        <v>16.41</v>
      </c>
      <c r="Y332" s="5" t="n">
        <f aca="false">V332-L332</f>
        <v>580370.32</v>
      </c>
      <c r="Z332" s="6" t="n">
        <f aca="false">Y332/L332</f>
        <v>528.570418943534</v>
      </c>
      <c r="AA332" s="3" t="n">
        <f aca="false">X332-P332</f>
        <v>8.3</v>
      </c>
      <c r="AB332" s="6" t="n">
        <f aca="false">AA332/P332</f>
        <v>1.02342786683107</v>
      </c>
    </row>
    <row r="333" customFormat="false" ht="12.75" hidden="false" customHeight="false" outlineLevel="0" collapsed="false">
      <c r="A333" s="0" t="s">
        <v>391</v>
      </c>
      <c r="B333" s="0" t="n">
        <v>1</v>
      </c>
      <c r="C333" s="0" t="s">
        <v>31</v>
      </c>
      <c r="D333" s="0" t="s">
        <v>31</v>
      </c>
      <c r="E333" s="0" t="n">
        <v>1166</v>
      </c>
      <c r="F333" s="0" t="n">
        <v>1200</v>
      </c>
      <c r="G333" s="0" t="n">
        <v>15</v>
      </c>
      <c r="H333" s="0" t="n">
        <v>6</v>
      </c>
      <c r="I333" s="0" t="n">
        <v>6</v>
      </c>
      <c r="J333" s="0" t="n">
        <v>8</v>
      </c>
      <c r="K333" s="0" t="n">
        <v>0.7</v>
      </c>
      <c r="L333" s="1" t="n">
        <v>1200</v>
      </c>
      <c r="M333" s="0" t="n">
        <v>0</v>
      </c>
      <c r="N333" s="0" t="n">
        <v>1200</v>
      </c>
      <c r="O333" s="0" t="n">
        <v>217012</v>
      </c>
      <c r="P333" s="1" t="n">
        <v>8.4</v>
      </c>
      <c r="Q333" s="0" t="n">
        <v>0</v>
      </c>
      <c r="R333" s="0" t="n">
        <v>1</v>
      </c>
      <c r="S333" s="0" t="s">
        <v>42</v>
      </c>
      <c r="T333" s="0" t="str">
        <f aca="false">IF(L333="inf","False","True")</f>
        <v>True</v>
      </c>
      <c r="U333" s="0" t="str">
        <f aca="false">IF(V333="inf","False","True")</f>
        <v>False</v>
      </c>
      <c r="V333" s="4" t="s">
        <v>37</v>
      </c>
      <c r="W333" s="4" t="s">
        <v>37</v>
      </c>
      <c r="X333" s="0" t="n">
        <v>52.81</v>
      </c>
      <c r="Y333" s="5" t="e">
        <f aca="false">V333-L333</f>
        <v>#VALUE!</v>
      </c>
      <c r="Z333" s="6" t="e">
        <f aca="false">Y333/L333</f>
        <v>#VALUE!</v>
      </c>
      <c r="AA333" s="3" t="n">
        <f aca="false">X333-P333</f>
        <v>44.41</v>
      </c>
      <c r="AB333" s="6" t="n">
        <f aca="false">AA333/P333</f>
        <v>5.28690476190476</v>
      </c>
    </row>
    <row r="334" customFormat="false" ht="12.75" hidden="false" customHeight="false" outlineLevel="0" collapsed="false">
      <c r="A334" s="0" t="s">
        <v>392</v>
      </c>
      <c r="B334" s="0" t="n">
        <v>2</v>
      </c>
      <c r="C334" s="0" t="s">
        <v>31</v>
      </c>
      <c r="D334" s="0" t="s">
        <v>31</v>
      </c>
      <c r="E334" s="0" t="n">
        <v>1166</v>
      </c>
      <c r="F334" s="0" t="n">
        <v>1109</v>
      </c>
      <c r="G334" s="0" t="n">
        <v>15</v>
      </c>
      <c r="H334" s="0" t="n">
        <v>6</v>
      </c>
      <c r="I334" s="0" t="n">
        <v>6</v>
      </c>
      <c r="J334" s="0" t="n">
        <v>8</v>
      </c>
      <c r="K334" s="0" t="n">
        <v>0.7</v>
      </c>
      <c r="L334" s="1" t="n">
        <v>1109</v>
      </c>
      <c r="M334" s="0" t="n">
        <v>0</v>
      </c>
      <c r="N334" s="0" t="n">
        <v>1109</v>
      </c>
      <c r="O334" s="0" t="n">
        <v>198082</v>
      </c>
      <c r="P334" s="1" t="n">
        <v>11.64</v>
      </c>
      <c r="Q334" s="0" t="n">
        <v>0</v>
      </c>
      <c r="R334" s="0" t="n">
        <v>1</v>
      </c>
      <c r="S334" s="0" t="s">
        <v>42</v>
      </c>
      <c r="T334" s="0" t="str">
        <f aca="false">IF(L334="inf","False","True")</f>
        <v>True</v>
      </c>
      <c r="U334" s="0" t="str">
        <f aca="false">IF(V334="inf","False","True")</f>
        <v>True</v>
      </c>
      <c r="V334" s="4" t="n">
        <v>620862.27</v>
      </c>
      <c r="W334" s="4" t="n">
        <v>178391.08</v>
      </c>
      <c r="X334" s="0" t="n">
        <v>120.83</v>
      </c>
      <c r="Y334" s="5" t="n">
        <f aca="false">V334-L334</f>
        <v>619753.27</v>
      </c>
      <c r="Z334" s="6" t="n">
        <f aca="false">Y334/L334</f>
        <v>558.839738503156</v>
      </c>
      <c r="AA334" s="3" t="n">
        <f aca="false">X334-P334</f>
        <v>109.19</v>
      </c>
      <c r="AB334" s="6" t="n">
        <f aca="false">AA334/P334</f>
        <v>9.38058419243986</v>
      </c>
    </row>
    <row r="335" customFormat="false" ht="12.75" hidden="false" customHeight="false" outlineLevel="0" collapsed="false">
      <c r="A335" s="0" t="s">
        <v>393</v>
      </c>
      <c r="B335" s="0" t="n">
        <v>3</v>
      </c>
      <c r="C335" s="0" t="s">
        <v>31</v>
      </c>
      <c r="D335" s="0" t="s">
        <v>31</v>
      </c>
      <c r="E335" s="0" t="n">
        <v>1166</v>
      </c>
      <c r="F335" s="0" t="n">
        <v>1115</v>
      </c>
      <c r="G335" s="0" t="n">
        <v>15</v>
      </c>
      <c r="H335" s="0" t="n">
        <v>6</v>
      </c>
      <c r="I335" s="0" t="n">
        <v>6</v>
      </c>
      <c r="J335" s="0" t="n">
        <v>8</v>
      </c>
      <c r="K335" s="0" t="n">
        <v>0.7</v>
      </c>
      <c r="L335" s="1" t="n">
        <v>553192.98</v>
      </c>
      <c r="M335" s="0" t="n">
        <v>552158.37</v>
      </c>
      <c r="N335" s="0" t="n">
        <v>1034.61</v>
      </c>
      <c r="O335" s="0" t="n">
        <v>176931.85</v>
      </c>
      <c r="P335" s="1" t="n">
        <v>648.06</v>
      </c>
      <c r="Q335" s="0" t="n">
        <v>0.17</v>
      </c>
      <c r="R335" s="0" t="n">
        <v>4</v>
      </c>
      <c r="S335" s="0" t="s">
        <v>32</v>
      </c>
      <c r="T335" s="0" t="str">
        <f aca="false">IF(L335="inf","False","True")</f>
        <v>True</v>
      </c>
      <c r="U335" s="0" t="str">
        <f aca="false">IF(V335="inf","False","True")</f>
        <v>True</v>
      </c>
      <c r="V335" s="4" t="n">
        <v>236659.03</v>
      </c>
      <c r="W335" s="4" t="n">
        <v>184332.26</v>
      </c>
      <c r="X335" s="0" t="n">
        <v>4.19</v>
      </c>
      <c r="Y335" s="5" t="n">
        <f aca="false">V335-L335</f>
        <v>-316533.95</v>
      </c>
      <c r="Z335" s="6" t="n">
        <f aca="false">Y335/L335</f>
        <v>-0.572194444694508</v>
      </c>
      <c r="AA335" s="3" t="n">
        <f aca="false">X335-P335</f>
        <v>-643.87</v>
      </c>
      <c r="AB335" s="6" t="n">
        <f aca="false">AA335/P335</f>
        <v>-0.993534549270129</v>
      </c>
    </row>
    <row r="336" customFormat="false" ht="12.75" hidden="false" customHeight="false" outlineLevel="0" collapsed="false">
      <c r="A336" s="0" t="s">
        <v>394</v>
      </c>
      <c r="B336" s="0" t="n">
        <v>4</v>
      </c>
      <c r="C336" s="0" t="s">
        <v>31</v>
      </c>
      <c r="D336" s="0" t="s">
        <v>31</v>
      </c>
      <c r="E336" s="0" t="n">
        <v>1166</v>
      </c>
      <c r="F336" s="0" t="n">
        <v>1214</v>
      </c>
      <c r="G336" s="0" t="n">
        <v>15</v>
      </c>
      <c r="H336" s="0" t="n">
        <v>6</v>
      </c>
      <c r="I336" s="0" t="n">
        <v>6</v>
      </c>
      <c r="J336" s="0" t="n">
        <v>8</v>
      </c>
      <c r="K336" s="0" t="n">
        <v>0.7</v>
      </c>
      <c r="L336" s="1" t="n">
        <v>1214</v>
      </c>
      <c r="M336" s="0" t="n">
        <v>0</v>
      </c>
      <c r="N336" s="0" t="n">
        <v>1214</v>
      </c>
      <c r="O336" s="0" t="n">
        <v>214580</v>
      </c>
      <c r="P336" s="1" t="n">
        <v>8.4</v>
      </c>
      <c r="Q336" s="0" t="n">
        <v>0</v>
      </c>
      <c r="R336" s="0" t="n">
        <v>1</v>
      </c>
      <c r="S336" s="0" t="s">
        <v>42</v>
      </c>
      <c r="T336" s="0" t="str">
        <f aca="false">IF(L336="inf","False","True")</f>
        <v>True</v>
      </c>
      <c r="U336" s="0" t="str">
        <f aca="false">IF(V336="inf","False","True")</f>
        <v>True</v>
      </c>
      <c r="V336" s="4" t="n">
        <v>223888.42</v>
      </c>
      <c r="W336" s="4" t="n">
        <v>199695.01</v>
      </c>
      <c r="X336" s="0" t="n">
        <v>489.86</v>
      </c>
      <c r="Y336" s="5" t="n">
        <f aca="false">V336-L336</f>
        <v>222674.42</v>
      </c>
      <c r="Z336" s="6" t="n">
        <f aca="false">Y336/L336</f>
        <v>183.422092257002</v>
      </c>
      <c r="AA336" s="3" t="n">
        <f aca="false">X336-P336</f>
        <v>481.46</v>
      </c>
      <c r="AB336" s="6" t="n">
        <f aca="false">AA336/P336</f>
        <v>57.3166666666667</v>
      </c>
    </row>
    <row r="337" customFormat="false" ht="12.75" hidden="false" customHeight="false" outlineLevel="0" collapsed="false">
      <c r="A337" s="0" t="s">
        <v>395</v>
      </c>
      <c r="B337" s="0" t="n">
        <v>0</v>
      </c>
      <c r="C337" s="0" t="s">
        <v>31</v>
      </c>
      <c r="D337" s="0" t="s">
        <v>31</v>
      </c>
      <c r="E337" s="0" t="n">
        <v>1666</v>
      </c>
      <c r="F337" s="0" t="n">
        <v>1573</v>
      </c>
      <c r="G337" s="0" t="n">
        <v>15</v>
      </c>
      <c r="H337" s="0" t="n">
        <v>6</v>
      </c>
      <c r="I337" s="0" t="n">
        <v>6</v>
      </c>
      <c r="J337" s="0" t="n">
        <v>8</v>
      </c>
      <c r="K337" s="0" t="n">
        <v>0.7</v>
      </c>
      <c r="L337" s="1" t="n">
        <v>1573</v>
      </c>
      <c r="M337" s="0" t="n">
        <v>0</v>
      </c>
      <c r="N337" s="0" t="n">
        <v>1573</v>
      </c>
      <c r="O337" s="0" t="n">
        <v>308294</v>
      </c>
      <c r="P337" s="1" t="n">
        <v>8.22</v>
      </c>
      <c r="Q337" s="0" t="n">
        <v>0</v>
      </c>
      <c r="R337" s="0" t="n">
        <v>1</v>
      </c>
      <c r="S337" s="0" t="s">
        <v>42</v>
      </c>
      <c r="T337" s="0" t="str">
        <f aca="false">IF(L337="inf","False","True")</f>
        <v>True</v>
      </c>
      <c r="U337" s="0" t="str">
        <f aca="false">IF(V337="inf","False","True")</f>
        <v>True</v>
      </c>
      <c r="V337" s="4" t="n">
        <v>1243512.15</v>
      </c>
      <c r="W337" s="4" t="n">
        <v>296761.62</v>
      </c>
      <c r="X337" s="0" t="n">
        <v>27.9</v>
      </c>
      <c r="Y337" s="5" t="n">
        <f aca="false">V337-L337</f>
        <v>1241939.15</v>
      </c>
      <c r="Z337" s="6" t="n">
        <f aca="false">Y337/L337</f>
        <v>789.535378258105</v>
      </c>
      <c r="AA337" s="3" t="n">
        <f aca="false">X337-P337</f>
        <v>19.68</v>
      </c>
      <c r="AB337" s="6" t="n">
        <f aca="false">AA337/P337</f>
        <v>2.39416058394161</v>
      </c>
    </row>
    <row r="338" customFormat="false" ht="12.75" hidden="false" customHeight="false" outlineLevel="0" collapsed="false">
      <c r="A338" s="0" t="s">
        <v>396</v>
      </c>
      <c r="B338" s="0" t="n">
        <v>1</v>
      </c>
      <c r="C338" s="0" t="s">
        <v>31</v>
      </c>
      <c r="D338" s="0" t="s">
        <v>31</v>
      </c>
      <c r="E338" s="0" t="n">
        <v>1666</v>
      </c>
      <c r="F338" s="0" t="n">
        <v>1717</v>
      </c>
      <c r="G338" s="0" t="n">
        <v>15</v>
      </c>
      <c r="H338" s="0" t="n">
        <v>6</v>
      </c>
      <c r="I338" s="0" t="n">
        <v>6</v>
      </c>
      <c r="J338" s="0" t="n">
        <v>8</v>
      </c>
      <c r="K338" s="0" t="n">
        <v>0.7</v>
      </c>
      <c r="L338" s="1" t="n">
        <v>1717</v>
      </c>
      <c r="M338" s="0" t="n">
        <v>0</v>
      </c>
      <c r="N338" s="0" t="n">
        <v>1717</v>
      </c>
      <c r="O338" s="0" t="n">
        <v>309916</v>
      </c>
      <c r="P338" s="1" t="n">
        <v>8.28</v>
      </c>
      <c r="Q338" s="0" t="n">
        <v>0</v>
      </c>
      <c r="R338" s="0" t="n">
        <v>1</v>
      </c>
      <c r="S338" s="0" t="s">
        <v>42</v>
      </c>
      <c r="T338" s="0" t="str">
        <f aca="false">IF(L338="inf","False","True")</f>
        <v>True</v>
      </c>
      <c r="U338" s="0" t="str">
        <f aca="false">IF(V338="inf","False","True")</f>
        <v>False</v>
      </c>
      <c r="V338" s="4" t="s">
        <v>37</v>
      </c>
      <c r="W338" s="4" t="s">
        <v>37</v>
      </c>
      <c r="X338" s="0" t="n">
        <v>44.76</v>
      </c>
      <c r="Y338" s="5" t="e">
        <f aca="false">V338-L338</f>
        <v>#VALUE!</v>
      </c>
      <c r="Z338" s="6" t="e">
        <f aca="false">Y338/L338</f>
        <v>#VALUE!</v>
      </c>
      <c r="AA338" s="3" t="n">
        <f aca="false">X338-P338</f>
        <v>36.48</v>
      </c>
      <c r="AB338" s="6" t="n">
        <f aca="false">AA338/P338</f>
        <v>4.40579710144928</v>
      </c>
    </row>
    <row r="339" customFormat="false" ht="12.75" hidden="false" customHeight="false" outlineLevel="0" collapsed="false">
      <c r="A339" s="0" t="s">
        <v>397</v>
      </c>
      <c r="B339" s="0" t="n">
        <v>2</v>
      </c>
      <c r="C339" s="0" t="s">
        <v>31</v>
      </c>
      <c r="D339" s="0" t="s">
        <v>31</v>
      </c>
      <c r="E339" s="0" t="n">
        <v>1666</v>
      </c>
      <c r="F339" s="0" t="n">
        <v>1588</v>
      </c>
      <c r="G339" s="0" t="n">
        <v>15</v>
      </c>
      <c r="H339" s="0" t="n">
        <v>6</v>
      </c>
      <c r="I339" s="0" t="n">
        <v>6</v>
      </c>
      <c r="J339" s="0" t="n">
        <v>8</v>
      </c>
      <c r="K339" s="0" t="n">
        <v>0.7</v>
      </c>
      <c r="L339" s="1" t="n">
        <v>1588</v>
      </c>
      <c r="M339" s="0" t="n">
        <v>0</v>
      </c>
      <c r="N339" s="0" t="n">
        <v>1588</v>
      </c>
      <c r="O339" s="0" t="n">
        <v>282838</v>
      </c>
      <c r="P339" s="1" t="n">
        <v>11.46</v>
      </c>
      <c r="Q339" s="0" t="n">
        <v>0</v>
      </c>
      <c r="R339" s="0" t="n">
        <v>5</v>
      </c>
      <c r="S339" s="0" t="s">
        <v>42</v>
      </c>
      <c r="T339" s="0" t="str">
        <f aca="false">IF(L339="inf","False","True")</f>
        <v>True</v>
      </c>
      <c r="U339" s="0" t="str">
        <f aca="false">IF(V339="inf","False","True")</f>
        <v>True</v>
      </c>
      <c r="V339" s="4" t="n">
        <v>875961.95</v>
      </c>
      <c r="W339" s="4" t="n">
        <v>257648.57</v>
      </c>
      <c r="X339" s="0" t="n">
        <v>114.38</v>
      </c>
      <c r="Y339" s="5" t="n">
        <f aca="false">V339-L339</f>
        <v>874373.95</v>
      </c>
      <c r="Z339" s="6" t="n">
        <f aca="false">Y339/L339</f>
        <v>550.613318639798</v>
      </c>
      <c r="AA339" s="3" t="n">
        <f aca="false">X339-P339</f>
        <v>102.92</v>
      </c>
      <c r="AB339" s="6" t="n">
        <f aca="false">AA339/P339</f>
        <v>8.98080279232112</v>
      </c>
    </row>
    <row r="340" customFormat="false" ht="12.75" hidden="false" customHeight="false" outlineLevel="0" collapsed="false">
      <c r="A340" s="0" t="s">
        <v>398</v>
      </c>
      <c r="B340" s="0" t="n">
        <v>3</v>
      </c>
      <c r="C340" s="0" t="s">
        <v>31</v>
      </c>
      <c r="D340" s="0" t="s">
        <v>31</v>
      </c>
      <c r="E340" s="0" t="n">
        <v>1666</v>
      </c>
      <c r="F340" s="0" t="n">
        <v>1597</v>
      </c>
      <c r="G340" s="0" t="n">
        <v>15</v>
      </c>
      <c r="H340" s="0" t="n">
        <v>6</v>
      </c>
      <c r="I340" s="0" t="n">
        <v>6</v>
      </c>
      <c r="J340" s="0" t="n">
        <v>8</v>
      </c>
      <c r="K340" s="0" t="n">
        <v>0.7</v>
      </c>
      <c r="L340" s="1" t="n">
        <v>327062.38</v>
      </c>
      <c r="M340" s="0" t="n">
        <v>325553.64</v>
      </c>
      <c r="N340" s="0" t="n">
        <v>1508.74</v>
      </c>
      <c r="O340" s="0" t="n">
        <v>263358.86</v>
      </c>
      <c r="P340" s="1" t="n">
        <v>612.81</v>
      </c>
      <c r="Q340" s="0" t="n">
        <v>0</v>
      </c>
      <c r="R340" s="0" t="n">
        <v>10</v>
      </c>
      <c r="S340" s="0" t="s">
        <v>399</v>
      </c>
      <c r="T340" s="0" t="str">
        <f aca="false">IF(L340="inf","False","True")</f>
        <v>True</v>
      </c>
      <c r="U340" s="0" t="str">
        <f aca="false">IF(V340="inf","False","True")</f>
        <v>True</v>
      </c>
      <c r="V340" s="4" t="n">
        <v>274963.19</v>
      </c>
      <c r="W340" s="4" t="n">
        <v>264734.79</v>
      </c>
      <c r="X340" s="0" t="n">
        <v>243.94</v>
      </c>
      <c r="Y340" s="5" t="n">
        <f aca="false">V340-L340</f>
        <v>-52099.19</v>
      </c>
      <c r="Z340" s="6" t="n">
        <f aca="false">Y340/L340</f>
        <v>-0.159294352349543</v>
      </c>
      <c r="AA340" s="3" t="n">
        <f aca="false">X340-P340</f>
        <v>-368.87</v>
      </c>
      <c r="AB340" s="6" t="n">
        <f aca="false">AA340/P340</f>
        <v>-0.601932083353731</v>
      </c>
    </row>
    <row r="341" customFormat="false" ht="12.75" hidden="false" customHeight="false" outlineLevel="0" collapsed="false">
      <c r="A341" s="0" t="s">
        <v>400</v>
      </c>
      <c r="B341" s="0" t="n">
        <v>4</v>
      </c>
      <c r="C341" s="0" t="s">
        <v>31</v>
      </c>
      <c r="D341" s="0" t="s">
        <v>31</v>
      </c>
      <c r="E341" s="0" t="n">
        <v>1666</v>
      </c>
      <c r="F341" s="0" t="n">
        <v>1736</v>
      </c>
      <c r="G341" s="0" t="n">
        <v>15</v>
      </c>
      <c r="H341" s="0" t="n">
        <v>6</v>
      </c>
      <c r="I341" s="0" t="n">
        <v>6</v>
      </c>
      <c r="J341" s="0" t="n">
        <v>8</v>
      </c>
      <c r="K341" s="0" t="n">
        <v>0.7</v>
      </c>
      <c r="L341" s="1" t="n">
        <v>1736</v>
      </c>
      <c r="M341" s="0" t="n">
        <v>0</v>
      </c>
      <c r="N341" s="0" t="n">
        <v>1736</v>
      </c>
      <c r="O341" s="0" t="n">
        <v>306299</v>
      </c>
      <c r="P341" s="1" t="n">
        <v>8.43</v>
      </c>
      <c r="Q341" s="0" t="n">
        <v>0</v>
      </c>
      <c r="R341" s="0" t="n">
        <v>1</v>
      </c>
      <c r="S341" s="0" t="s">
        <v>42</v>
      </c>
      <c r="T341" s="0" t="str">
        <f aca="false">IF(L341="inf","False","True")</f>
        <v>True</v>
      </c>
      <c r="U341" s="0" t="str">
        <f aca="false">IF(V341="inf","False","True")</f>
        <v>True</v>
      </c>
      <c r="V341" s="4" t="n">
        <v>551865.63</v>
      </c>
      <c r="W341" s="4" t="n">
        <v>275659.53</v>
      </c>
      <c r="X341" s="0" t="n">
        <v>49.55</v>
      </c>
      <c r="Y341" s="5" t="n">
        <f aca="false">V341-L341</f>
        <v>550129.63</v>
      </c>
      <c r="Z341" s="6" t="n">
        <f aca="false">Y341/L341</f>
        <v>316.894948156682</v>
      </c>
      <c r="AA341" s="3" t="n">
        <f aca="false">X341-P341</f>
        <v>41.12</v>
      </c>
      <c r="AB341" s="6" t="n">
        <f aca="false">AA341/P341</f>
        <v>4.87781731909846</v>
      </c>
    </row>
    <row r="342" customFormat="false" ht="12.75" hidden="false" customHeight="false" outlineLevel="0" collapsed="false">
      <c r="A342" s="0" t="s">
        <v>401</v>
      </c>
      <c r="B342" s="0" t="n">
        <v>0</v>
      </c>
      <c r="C342" s="0" t="s">
        <v>31</v>
      </c>
      <c r="D342" s="0" t="s">
        <v>31</v>
      </c>
      <c r="E342" s="0" t="n">
        <v>500</v>
      </c>
      <c r="F342" s="0" t="n">
        <v>507</v>
      </c>
      <c r="G342" s="0" t="n">
        <v>15</v>
      </c>
      <c r="H342" s="0" t="n">
        <v>6</v>
      </c>
      <c r="I342" s="0" t="n">
        <v>6</v>
      </c>
      <c r="J342" s="0" t="n">
        <v>12</v>
      </c>
      <c r="K342" s="0" t="n">
        <v>0.7</v>
      </c>
      <c r="L342" s="1" t="n">
        <v>507</v>
      </c>
      <c r="M342" s="0" t="n">
        <v>0</v>
      </c>
      <c r="N342" s="0" t="n">
        <v>507</v>
      </c>
      <c r="O342" s="0" t="n">
        <v>91646</v>
      </c>
      <c r="P342" s="1" t="n">
        <v>20.31</v>
      </c>
      <c r="Q342" s="0" t="n">
        <v>0</v>
      </c>
      <c r="R342" s="0" t="n">
        <v>1</v>
      </c>
      <c r="S342" s="0" t="s">
        <v>42</v>
      </c>
      <c r="T342" s="0" t="str">
        <f aca="false">IF(L342="inf","False","True")</f>
        <v>True</v>
      </c>
      <c r="U342" s="0" t="str">
        <f aca="false">IF(V342="inf","False","True")</f>
        <v>True</v>
      </c>
      <c r="V342" s="4" t="n">
        <v>53982.19</v>
      </c>
      <c r="W342" s="4" t="n">
        <v>89346</v>
      </c>
      <c r="X342" s="0" t="n">
        <v>19.02</v>
      </c>
      <c r="Y342" s="5" t="n">
        <f aca="false">V342-L342</f>
        <v>53475.19</v>
      </c>
      <c r="Z342" s="6" t="n">
        <f aca="false">Y342/L342</f>
        <v>105.473747534517</v>
      </c>
      <c r="AA342" s="3" t="n">
        <f aca="false">X342-P342</f>
        <v>-1.29</v>
      </c>
      <c r="AB342" s="6" t="n">
        <f aca="false">AA342/P342</f>
        <v>-0.0635155096011816</v>
      </c>
    </row>
    <row r="343" customFormat="false" ht="12.75" hidden="false" customHeight="false" outlineLevel="0" collapsed="false">
      <c r="A343" s="0" t="s">
        <v>402</v>
      </c>
      <c r="B343" s="0" t="n">
        <v>1</v>
      </c>
      <c r="C343" s="0" t="s">
        <v>31</v>
      </c>
      <c r="D343" s="0" t="s">
        <v>31</v>
      </c>
      <c r="E343" s="0" t="n">
        <v>500</v>
      </c>
      <c r="F343" s="0" t="n">
        <v>530</v>
      </c>
      <c r="G343" s="0" t="n">
        <v>15</v>
      </c>
      <c r="H343" s="0" t="n">
        <v>6</v>
      </c>
      <c r="I343" s="0" t="n">
        <v>6</v>
      </c>
      <c r="J343" s="0" t="n">
        <v>12</v>
      </c>
      <c r="K343" s="0" t="n">
        <v>0.7</v>
      </c>
      <c r="L343" s="1" t="n">
        <v>307373.68</v>
      </c>
      <c r="M343" s="0" t="n">
        <v>306903.96</v>
      </c>
      <c r="N343" s="0" t="n">
        <v>469.71</v>
      </c>
      <c r="O343" s="0" t="n">
        <v>72925.11</v>
      </c>
      <c r="P343" s="1" t="n">
        <v>635.22</v>
      </c>
      <c r="Q343" s="0" t="n">
        <v>0.12</v>
      </c>
      <c r="R343" s="0" t="n">
        <v>6</v>
      </c>
      <c r="S343" s="0" t="s">
        <v>403</v>
      </c>
      <c r="T343" s="0" t="str">
        <f aca="false">IF(L343="inf","False","True")</f>
        <v>True</v>
      </c>
      <c r="U343" s="0" t="str">
        <f aca="false">IF(V343="inf","False","True")</f>
        <v>True</v>
      </c>
      <c r="V343" s="4" t="n">
        <v>205145.8</v>
      </c>
      <c r="W343" s="4" t="n">
        <v>75347.12</v>
      </c>
      <c r="X343" s="0" t="n">
        <v>492.1</v>
      </c>
      <c r="Y343" s="5" t="n">
        <f aca="false">V343-L343</f>
        <v>-102227.88</v>
      </c>
      <c r="Z343" s="6" t="n">
        <f aca="false">Y343/L343</f>
        <v>-0.332585015086523</v>
      </c>
      <c r="AA343" s="3" t="n">
        <f aca="false">X343-P343</f>
        <v>-143.12</v>
      </c>
      <c r="AB343" s="6" t="n">
        <f aca="false">AA343/P343</f>
        <v>-0.225307767387677</v>
      </c>
    </row>
    <row r="344" customFormat="false" ht="12.75" hidden="false" customHeight="false" outlineLevel="0" collapsed="false">
      <c r="A344" s="0" t="s">
        <v>404</v>
      </c>
      <c r="B344" s="0" t="n">
        <v>2</v>
      </c>
      <c r="C344" s="0" t="s">
        <v>31</v>
      </c>
      <c r="D344" s="0" t="s">
        <v>31</v>
      </c>
      <c r="E344" s="0" t="n">
        <v>500</v>
      </c>
      <c r="F344" s="0" t="n">
        <v>507</v>
      </c>
      <c r="G344" s="0" t="n">
        <v>15</v>
      </c>
      <c r="H344" s="0" t="n">
        <v>6</v>
      </c>
      <c r="I344" s="0" t="n">
        <v>6</v>
      </c>
      <c r="J344" s="0" t="n">
        <v>12</v>
      </c>
      <c r="K344" s="0" t="n">
        <v>0.7</v>
      </c>
      <c r="L344" s="1" t="n">
        <v>507</v>
      </c>
      <c r="M344" s="0" t="n">
        <v>0</v>
      </c>
      <c r="N344" s="0" t="n">
        <v>507</v>
      </c>
      <c r="O344" s="0" t="n">
        <v>87324</v>
      </c>
      <c r="P344" s="1" t="n">
        <v>17.35</v>
      </c>
      <c r="Q344" s="0" t="n">
        <v>0</v>
      </c>
      <c r="R344" s="0" t="n">
        <v>1</v>
      </c>
      <c r="S344" s="0" t="s">
        <v>42</v>
      </c>
      <c r="T344" s="0" t="str">
        <f aca="false">IF(L344="inf","False","True")</f>
        <v>True</v>
      </c>
      <c r="U344" s="0" t="str">
        <f aca="false">IF(V344="inf","False","True")</f>
        <v>True</v>
      </c>
      <c r="V344" s="4" t="n">
        <v>220023.29</v>
      </c>
      <c r="W344" s="4" t="n">
        <v>75407.7</v>
      </c>
      <c r="X344" s="0" t="n">
        <v>152.31</v>
      </c>
      <c r="Y344" s="5" t="n">
        <f aca="false">V344-L344</f>
        <v>219516.29</v>
      </c>
      <c r="Z344" s="6" t="n">
        <f aca="false">Y344/L344</f>
        <v>432.970986193294</v>
      </c>
      <c r="AA344" s="3" t="n">
        <f aca="false">X344-P344</f>
        <v>134.96</v>
      </c>
      <c r="AB344" s="6" t="n">
        <f aca="false">AA344/P344</f>
        <v>7.77867435158501</v>
      </c>
    </row>
    <row r="345" customFormat="false" ht="12.75" hidden="false" customHeight="false" outlineLevel="0" collapsed="false">
      <c r="A345" s="0" t="s">
        <v>405</v>
      </c>
      <c r="B345" s="0" t="n">
        <v>3</v>
      </c>
      <c r="C345" s="0" t="s">
        <v>31</v>
      </c>
      <c r="D345" s="0" t="s">
        <v>31</v>
      </c>
      <c r="E345" s="0" t="n">
        <v>500</v>
      </c>
      <c r="F345" s="0" t="n">
        <v>511</v>
      </c>
      <c r="G345" s="0" t="n">
        <v>15</v>
      </c>
      <c r="H345" s="0" t="n">
        <v>6</v>
      </c>
      <c r="I345" s="0" t="n">
        <v>6</v>
      </c>
      <c r="J345" s="0" t="n">
        <v>12</v>
      </c>
      <c r="K345" s="0" t="n">
        <v>0.7</v>
      </c>
      <c r="L345" s="1" t="n">
        <v>511</v>
      </c>
      <c r="M345" s="0" t="n">
        <v>0</v>
      </c>
      <c r="N345" s="0" t="n">
        <v>511</v>
      </c>
      <c r="O345" s="0" t="n">
        <v>78539</v>
      </c>
      <c r="P345" s="1" t="n">
        <v>24.49</v>
      </c>
      <c r="Q345" s="0" t="n">
        <v>0</v>
      </c>
      <c r="R345" s="0" t="n">
        <v>6</v>
      </c>
      <c r="S345" s="0" t="s">
        <v>42</v>
      </c>
      <c r="T345" s="0" t="str">
        <f aca="false">IF(L345="inf","False","True")</f>
        <v>True</v>
      </c>
      <c r="U345" s="0" t="str">
        <f aca="false">IF(V345="inf","False","True")</f>
        <v>True</v>
      </c>
      <c r="V345" s="4" t="n">
        <v>40430.23</v>
      </c>
      <c r="W345" s="4" t="n">
        <v>76908.97</v>
      </c>
      <c r="X345" s="0" t="n">
        <v>448.59</v>
      </c>
      <c r="Y345" s="5" t="n">
        <f aca="false">V345-L345</f>
        <v>39919.23</v>
      </c>
      <c r="Z345" s="6" t="n">
        <f aca="false">Y345/L345</f>
        <v>78.1198238747554</v>
      </c>
      <c r="AA345" s="3" t="n">
        <f aca="false">X345-P345</f>
        <v>424.1</v>
      </c>
      <c r="AB345" s="6" t="n">
        <f aca="false">AA345/P345</f>
        <v>17.3172723560637</v>
      </c>
    </row>
    <row r="346" customFormat="false" ht="12.75" hidden="false" customHeight="false" outlineLevel="0" collapsed="false">
      <c r="A346" s="0" t="s">
        <v>406</v>
      </c>
      <c r="B346" s="0" t="n">
        <v>4</v>
      </c>
      <c r="C346" s="0" t="s">
        <v>31</v>
      </c>
      <c r="D346" s="0" t="s">
        <v>31</v>
      </c>
      <c r="E346" s="0" t="n">
        <v>500</v>
      </c>
      <c r="F346" s="0" t="n">
        <v>549</v>
      </c>
      <c r="G346" s="0" t="n">
        <v>15</v>
      </c>
      <c r="H346" s="0" t="n">
        <v>6</v>
      </c>
      <c r="I346" s="0" t="n">
        <v>6</v>
      </c>
      <c r="J346" s="0" t="n">
        <v>12</v>
      </c>
      <c r="K346" s="0" t="n">
        <v>0.7</v>
      </c>
      <c r="L346" s="1" t="n">
        <v>549</v>
      </c>
      <c r="M346" s="0" t="n">
        <v>0</v>
      </c>
      <c r="N346" s="0" t="n">
        <v>549</v>
      </c>
      <c r="O346" s="0" t="n">
        <v>79887</v>
      </c>
      <c r="P346" s="1" t="n">
        <v>20.63</v>
      </c>
      <c r="Q346" s="0" t="n">
        <v>0</v>
      </c>
      <c r="R346" s="0" t="n">
        <v>1</v>
      </c>
      <c r="S346" s="0" t="s">
        <v>42</v>
      </c>
      <c r="T346" s="0" t="str">
        <f aca="false">IF(L346="inf","False","True")</f>
        <v>True</v>
      </c>
      <c r="U346" s="0" t="str">
        <f aca="false">IF(V346="inf","False","True")</f>
        <v>True</v>
      </c>
      <c r="V346" s="4" t="n">
        <v>214943.96</v>
      </c>
      <c r="W346" s="4" t="n">
        <v>74371.09</v>
      </c>
      <c r="X346" s="0" t="n">
        <v>246.06</v>
      </c>
      <c r="Y346" s="5" t="n">
        <f aca="false">V346-L346</f>
        <v>214394.96</v>
      </c>
      <c r="Z346" s="6" t="n">
        <f aca="false">Y346/L346</f>
        <v>390.519052823315</v>
      </c>
      <c r="AA346" s="3" t="n">
        <f aca="false">X346-P346</f>
        <v>225.43</v>
      </c>
      <c r="AB346" s="6" t="n">
        <f aca="false">AA346/P346</f>
        <v>10.9272903538536</v>
      </c>
    </row>
    <row r="347" customFormat="false" ht="12.75" hidden="false" customHeight="false" outlineLevel="0" collapsed="false">
      <c r="A347" s="0" t="s">
        <v>407</v>
      </c>
      <c r="B347" s="0" t="n">
        <v>0</v>
      </c>
      <c r="C347" s="0" t="s">
        <v>31</v>
      </c>
      <c r="D347" s="0" t="s">
        <v>31</v>
      </c>
      <c r="E347" s="0" t="n">
        <v>833</v>
      </c>
      <c r="F347" s="0" t="n">
        <v>850</v>
      </c>
      <c r="G347" s="0" t="n">
        <v>15</v>
      </c>
      <c r="H347" s="0" t="n">
        <v>6</v>
      </c>
      <c r="I347" s="0" t="n">
        <v>6</v>
      </c>
      <c r="J347" s="0" t="n">
        <v>12</v>
      </c>
      <c r="K347" s="0" t="n">
        <v>0.7</v>
      </c>
      <c r="L347" s="1" t="n">
        <v>850</v>
      </c>
      <c r="M347" s="0" t="n">
        <v>0</v>
      </c>
      <c r="N347" s="0" t="n">
        <v>850</v>
      </c>
      <c r="O347" s="0" t="n">
        <v>152815</v>
      </c>
      <c r="P347" s="1" t="n">
        <v>29.67</v>
      </c>
      <c r="Q347" s="0" t="n">
        <v>0</v>
      </c>
      <c r="R347" s="0" t="n">
        <v>1</v>
      </c>
      <c r="S347" s="0" t="s">
        <v>42</v>
      </c>
      <c r="T347" s="0" t="str">
        <f aca="false">IF(L347="inf","False","True")</f>
        <v>True</v>
      </c>
      <c r="U347" s="0" t="str">
        <f aca="false">IF(V347="inf","False","True")</f>
        <v>True</v>
      </c>
      <c r="V347" s="4" t="n">
        <v>56528.53</v>
      </c>
      <c r="W347" s="4" t="n">
        <v>160562.86</v>
      </c>
      <c r="X347" s="0" t="n">
        <v>104.69</v>
      </c>
      <c r="Y347" s="5" t="n">
        <f aca="false">V347-L347</f>
        <v>55678.53</v>
      </c>
      <c r="Z347" s="6" t="n">
        <f aca="false">Y347/L347</f>
        <v>65.5041529411765</v>
      </c>
      <c r="AA347" s="3" t="n">
        <f aca="false">X347-P347</f>
        <v>75.02</v>
      </c>
      <c r="AB347" s="6" t="n">
        <f aca="false">AA347/P347</f>
        <v>2.52847994607347</v>
      </c>
    </row>
    <row r="348" customFormat="false" ht="12.75" hidden="false" customHeight="false" outlineLevel="0" collapsed="false">
      <c r="A348" s="0" t="s">
        <v>408</v>
      </c>
      <c r="B348" s="0" t="n">
        <v>1</v>
      </c>
      <c r="C348" s="0" t="s">
        <v>31</v>
      </c>
      <c r="D348" s="0" t="s">
        <v>31</v>
      </c>
      <c r="E348" s="0" t="n">
        <v>833</v>
      </c>
      <c r="F348" s="0" t="n">
        <v>889</v>
      </c>
      <c r="G348" s="0" t="n">
        <v>15</v>
      </c>
      <c r="H348" s="0" t="n">
        <v>6</v>
      </c>
      <c r="I348" s="0" t="n">
        <v>6</v>
      </c>
      <c r="J348" s="0" t="n">
        <v>12</v>
      </c>
      <c r="K348" s="0" t="n">
        <v>0.7</v>
      </c>
      <c r="L348" s="1" t="n">
        <v>387988.54</v>
      </c>
      <c r="M348" s="0" t="n">
        <v>387192.11</v>
      </c>
      <c r="N348" s="0" t="n">
        <v>796.43</v>
      </c>
      <c r="O348" s="0" t="n">
        <v>123883.81</v>
      </c>
      <c r="P348" s="1" t="n">
        <v>648.96</v>
      </c>
      <c r="Q348" s="0" t="n">
        <v>0.28</v>
      </c>
      <c r="R348" s="0" t="n">
        <v>3</v>
      </c>
      <c r="S348" s="0" t="s">
        <v>409</v>
      </c>
      <c r="T348" s="0" t="str">
        <f aca="false">IF(L348="inf","False","True")</f>
        <v>True</v>
      </c>
      <c r="U348" s="0" t="str">
        <f aca="false">IF(V348="inf","False","True")</f>
        <v>True</v>
      </c>
      <c r="V348" s="4" t="n">
        <v>261443.09</v>
      </c>
      <c r="W348" s="4" t="n">
        <v>129918.79</v>
      </c>
      <c r="X348" s="0" t="n">
        <v>491.3</v>
      </c>
      <c r="Y348" s="5" t="n">
        <f aca="false">V348-L348</f>
        <v>-126545.45</v>
      </c>
      <c r="Z348" s="6" t="n">
        <f aca="false">Y348/L348</f>
        <v>-0.326157700431049</v>
      </c>
      <c r="AA348" s="3" t="n">
        <f aca="false">X348-P348</f>
        <v>-157.66</v>
      </c>
      <c r="AB348" s="6" t="n">
        <f aca="false">AA348/P348</f>
        <v>-0.242942554240631</v>
      </c>
    </row>
    <row r="349" customFormat="false" ht="12.75" hidden="false" customHeight="false" outlineLevel="0" collapsed="false">
      <c r="A349" s="0" t="s">
        <v>410</v>
      </c>
      <c r="B349" s="0" t="n">
        <v>2</v>
      </c>
      <c r="C349" s="0" t="s">
        <v>31</v>
      </c>
      <c r="D349" s="0" t="s">
        <v>31</v>
      </c>
      <c r="E349" s="0" t="n">
        <v>833</v>
      </c>
      <c r="F349" s="0" t="n">
        <v>850</v>
      </c>
      <c r="G349" s="0" t="n">
        <v>15</v>
      </c>
      <c r="H349" s="0" t="n">
        <v>6</v>
      </c>
      <c r="I349" s="0" t="n">
        <v>6</v>
      </c>
      <c r="J349" s="0" t="n">
        <v>12</v>
      </c>
      <c r="K349" s="0" t="n">
        <v>0.7</v>
      </c>
      <c r="L349" s="1" t="n">
        <v>850</v>
      </c>
      <c r="M349" s="0" t="n">
        <v>0</v>
      </c>
      <c r="N349" s="0" t="n">
        <v>850</v>
      </c>
      <c r="O349" s="0" t="n">
        <v>145531</v>
      </c>
      <c r="P349" s="1" t="n">
        <v>11.12</v>
      </c>
      <c r="Q349" s="0" t="n">
        <v>0</v>
      </c>
      <c r="R349" s="0" t="n">
        <v>1</v>
      </c>
      <c r="S349" s="0" t="s">
        <v>42</v>
      </c>
      <c r="T349" s="0" t="str">
        <f aca="false">IF(L349="inf","False","True")</f>
        <v>True</v>
      </c>
      <c r="U349" s="0" t="str">
        <f aca="false">IF(V349="inf","False","True")</f>
        <v>True</v>
      </c>
      <c r="V349" s="4" t="n">
        <v>309662.53</v>
      </c>
      <c r="W349" s="4" t="n">
        <v>127775.45</v>
      </c>
      <c r="X349" s="0" t="n">
        <v>21.01</v>
      </c>
      <c r="Y349" s="5" t="n">
        <f aca="false">V349-L349</f>
        <v>308812.53</v>
      </c>
      <c r="Z349" s="6" t="n">
        <f aca="false">Y349/L349</f>
        <v>363.308858823529</v>
      </c>
      <c r="AA349" s="3" t="n">
        <f aca="false">X349-P349</f>
        <v>9.89</v>
      </c>
      <c r="AB349" s="6" t="n">
        <f aca="false">AA349/P349</f>
        <v>0.889388489208633</v>
      </c>
    </row>
    <row r="350" customFormat="false" ht="12.75" hidden="false" customHeight="false" outlineLevel="0" collapsed="false">
      <c r="A350" s="0" t="s">
        <v>411</v>
      </c>
      <c r="B350" s="0" t="n">
        <v>3</v>
      </c>
      <c r="C350" s="0" t="s">
        <v>31</v>
      </c>
      <c r="D350" s="0" t="s">
        <v>31</v>
      </c>
      <c r="E350" s="0" t="n">
        <v>833</v>
      </c>
      <c r="F350" s="0" t="n">
        <v>855</v>
      </c>
      <c r="G350" s="0" t="n">
        <v>15</v>
      </c>
      <c r="H350" s="0" t="n">
        <v>6</v>
      </c>
      <c r="I350" s="0" t="n">
        <v>6</v>
      </c>
      <c r="J350" s="0" t="n">
        <v>12</v>
      </c>
      <c r="K350" s="0" t="n">
        <v>0.7</v>
      </c>
      <c r="L350" s="1" t="n">
        <v>855</v>
      </c>
      <c r="M350" s="0" t="n">
        <v>0</v>
      </c>
      <c r="N350" s="0" t="n">
        <v>855</v>
      </c>
      <c r="O350" s="0" t="n">
        <v>130932</v>
      </c>
      <c r="P350" s="1" t="n">
        <v>16.07</v>
      </c>
      <c r="Q350" s="0" t="n">
        <v>0</v>
      </c>
      <c r="R350" s="0" t="n">
        <v>2</v>
      </c>
      <c r="S350" s="0" t="s">
        <v>42</v>
      </c>
      <c r="T350" s="0" t="str">
        <f aca="false">IF(L350="inf","False","True")</f>
        <v>True</v>
      </c>
      <c r="U350" s="0" t="str">
        <f aca="false">IF(V350="inf","False","True")</f>
        <v>True</v>
      </c>
      <c r="V350" s="4" t="n">
        <v>216387.32</v>
      </c>
      <c r="W350" s="4" t="n">
        <v>123742</v>
      </c>
      <c r="X350" s="0" t="n">
        <v>328.2</v>
      </c>
      <c r="Y350" s="5" t="n">
        <f aca="false">V350-L350</f>
        <v>215532.32</v>
      </c>
      <c r="Z350" s="6" t="n">
        <f aca="false">Y350/L350</f>
        <v>252.084584795322</v>
      </c>
      <c r="AA350" s="3" t="n">
        <f aca="false">X350-P350</f>
        <v>312.13</v>
      </c>
      <c r="AB350" s="6" t="n">
        <f aca="false">AA350/P350</f>
        <v>19.4231487243311</v>
      </c>
    </row>
    <row r="351" customFormat="false" ht="12.75" hidden="false" customHeight="false" outlineLevel="0" collapsed="false">
      <c r="A351" s="0" t="s">
        <v>412</v>
      </c>
      <c r="B351" s="0" t="n">
        <v>4</v>
      </c>
      <c r="C351" s="0" t="s">
        <v>31</v>
      </c>
      <c r="D351" s="0" t="s">
        <v>31</v>
      </c>
      <c r="E351" s="0" t="n">
        <v>833</v>
      </c>
      <c r="F351" s="0" t="n">
        <v>920</v>
      </c>
      <c r="G351" s="0" t="n">
        <v>15</v>
      </c>
      <c r="H351" s="0" t="n">
        <v>6</v>
      </c>
      <c r="I351" s="0" t="n">
        <v>6</v>
      </c>
      <c r="J351" s="0" t="n">
        <v>12</v>
      </c>
      <c r="K351" s="0" t="n">
        <v>0.7</v>
      </c>
      <c r="L351" s="1" t="n">
        <v>920</v>
      </c>
      <c r="M351" s="0" t="n">
        <v>0</v>
      </c>
      <c r="N351" s="0" t="n">
        <v>920</v>
      </c>
      <c r="O351" s="0" t="n">
        <v>133131</v>
      </c>
      <c r="P351" s="1" t="n">
        <v>14.87</v>
      </c>
      <c r="Q351" s="0" t="n">
        <v>0</v>
      </c>
      <c r="R351" s="0" t="n">
        <v>2</v>
      </c>
      <c r="S351" s="0" t="s">
        <v>42</v>
      </c>
      <c r="T351" s="0" t="str">
        <f aca="false">IF(L351="inf","False","True")</f>
        <v>True</v>
      </c>
      <c r="U351" s="0" t="str">
        <f aca="false">IF(V351="inf","False","True")</f>
        <v>True</v>
      </c>
      <c r="V351" s="4" t="n">
        <v>124082.05</v>
      </c>
      <c r="W351" s="4" t="n">
        <v>127913.8</v>
      </c>
      <c r="X351" s="0" t="n">
        <v>318.52</v>
      </c>
      <c r="Y351" s="5" t="n">
        <f aca="false">V351-L351</f>
        <v>123162.05</v>
      </c>
      <c r="Z351" s="6" t="n">
        <f aca="false">Y351/L351</f>
        <v>133.871793478261</v>
      </c>
      <c r="AA351" s="3" t="n">
        <f aca="false">X351-P351</f>
        <v>303.65</v>
      </c>
      <c r="AB351" s="6" t="n">
        <f aca="false">AA351/P351</f>
        <v>20.4203093476799</v>
      </c>
    </row>
    <row r="352" customFormat="false" ht="12.75" hidden="false" customHeight="false" outlineLevel="0" collapsed="false">
      <c r="A352" s="0" t="s">
        <v>413</v>
      </c>
      <c r="B352" s="0" t="n">
        <v>0</v>
      </c>
      <c r="C352" s="0" t="s">
        <v>31</v>
      </c>
      <c r="D352" s="0" t="s">
        <v>31</v>
      </c>
      <c r="E352" s="0" t="n">
        <v>1166</v>
      </c>
      <c r="F352" s="0" t="n">
        <v>1193</v>
      </c>
      <c r="G352" s="0" t="n">
        <v>15</v>
      </c>
      <c r="H352" s="0" t="n">
        <v>6</v>
      </c>
      <c r="I352" s="0" t="n">
        <v>6</v>
      </c>
      <c r="J352" s="0" t="n">
        <v>12</v>
      </c>
      <c r="K352" s="0" t="n">
        <v>0.7</v>
      </c>
      <c r="L352" s="1" t="n">
        <v>1193</v>
      </c>
      <c r="M352" s="0" t="n">
        <v>0</v>
      </c>
      <c r="N352" s="0" t="n">
        <v>1193</v>
      </c>
      <c r="O352" s="0" t="n">
        <v>213930</v>
      </c>
      <c r="P352" s="1" t="n">
        <v>24.8</v>
      </c>
      <c r="Q352" s="0" t="n">
        <v>0</v>
      </c>
      <c r="R352" s="0" t="n">
        <v>1</v>
      </c>
      <c r="S352" s="0" t="s">
        <v>42</v>
      </c>
      <c r="T352" s="0" t="str">
        <f aca="false">IF(L352="inf","False","True")</f>
        <v>True</v>
      </c>
      <c r="U352" s="0" t="str">
        <f aca="false">IF(V352="inf","False","True")</f>
        <v>True</v>
      </c>
      <c r="V352" s="4" t="n">
        <v>245910.07</v>
      </c>
      <c r="W352" s="4" t="n">
        <v>207189.84</v>
      </c>
      <c r="X352" s="0" t="n">
        <v>377.17</v>
      </c>
      <c r="Y352" s="5" t="n">
        <f aca="false">V352-L352</f>
        <v>244717.07</v>
      </c>
      <c r="Z352" s="6" t="n">
        <f aca="false">Y352/L352</f>
        <v>205.127468566639</v>
      </c>
      <c r="AA352" s="3" t="n">
        <f aca="false">X352-P352</f>
        <v>352.37</v>
      </c>
      <c r="AB352" s="6" t="n">
        <f aca="false">AA352/P352</f>
        <v>14.2084677419355</v>
      </c>
    </row>
    <row r="353" customFormat="false" ht="12.75" hidden="false" customHeight="false" outlineLevel="0" collapsed="false">
      <c r="A353" s="0" t="s">
        <v>414</v>
      </c>
      <c r="B353" s="0" t="n">
        <v>1</v>
      </c>
      <c r="C353" s="0" t="s">
        <v>31</v>
      </c>
      <c r="D353" s="0" t="s">
        <v>31</v>
      </c>
      <c r="E353" s="0" t="n">
        <v>1166</v>
      </c>
      <c r="F353" s="0" t="n">
        <v>1247</v>
      </c>
      <c r="G353" s="0" t="n">
        <v>15</v>
      </c>
      <c r="H353" s="0" t="n">
        <v>6</v>
      </c>
      <c r="I353" s="0" t="n">
        <v>6</v>
      </c>
      <c r="J353" s="0" t="n">
        <v>12</v>
      </c>
      <c r="K353" s="0" t="n">
        <v>0.7</v>
      </c>
      <c r="L353" s="1" t="n">
        <v>621910.96</v>
      </c>
      <c r="M353" s="0" t="n">
        <v>620795.84</v>
      </c>
      <c r="N353" s="0" t="n">
        <v>1115.12</v>
      </c>
      <c r="O353" s="0" t="n">
        <v>168659.47</v>
      </c>
      <c r="P353" s="1" t="n">
        <v>613.65</v>
      </c>
      <c r="Q353" s="0" t="n">
        <v>0.29</v>
      </c>
      <c r="R353" s="0" t="n">
        <v>2</v>
      </c>
      <c r="S353" s="0" t="s">
        <v>415</v>
      </c>
      <c r="T353" s="0" t="str">
        <f aca="false">IF(L353="inf","False","True")</f>
        <v>True</v>
      </c>
      <c r="U353" s="0" t="str">
        <f aca="false">IF(V353="inf","False","True")</f>
        <v>True</v>
      </c>
      <c r="V353" s="4" t="n">
        <v>402694.78</v>
      </c>
      <c r="W353" s="4" t="n">
        <v>178375.7</v>
      </c>
      <c r="X353" s="0" t="n">
        <v>230.97</v>
      </c>
      <c r="Y353" s="5" t="n">
        <f aca="false">V353-L353</f>
        <v>-219216.18</v>
      </c>
      <c r="Z353" s="6" t="n">
        <f aca="false">Y353/L353</f>
        <v>-0.352488047485125</v>
      </c>
      <c r="AA353" s="3" t="n">
        <f aca="false">X353-P353</f>
        <v>-382.68</v>
      </c>
      <c r="AB353" s="6" t="n">
        <f aca="false">AA353/P353</f>
        <v>-0.623612808604253</v>
      </c>
    </row>
    <row r="354" customFormat="false" ht="12.75" hidden="false" customHeight="false" outlineLevel="0" collapsed="false">
      <c r="A354" s="0" t="s">
        <v>416</v>
      </c>
      <c r="B354" s="0" t="n">
        <v>2</v>
      </c>
      <c r="C354" s="0" t="s">
        <v>31</v>
      </c>
      <c r="D354" s="0" t="s">
        <v>31</v>
      </c>
      <c r="E354" s="0" t="n">
        <v>1166</v>
      </c>
      <c r="F354" s="0" t="n">
        <v>1194</v>
      </c>
      <c r="G354" s="0" t="n">
        <v>15</v>
      </c>
      <c r="H354" s="0" t="n">
        <v>6</v>
      </c>
      <c r="I354" s="0" t="n">
        <v>6</v>
      </c>
      <c r="J354" s="0" t="n">
        <v>12</v>
      </c>
      <c r="K354" s="0" t="n">
        <v>0.7</v>
      </c>
      <c r="L354" s="1" t="n">
        <v>1194</v>
      </c>
      <c r="M354" s="0" t="n">
        <v>0</v>
      </c>
      <c r="N354" s="0" t="n">
        <v>1194</v>
      </c>
      <c r="O354" s="0" t="n">
        <v>203749</v>
      </c>
      <c r="P354" s="1" t="n">
        <v>11.19</v>
      </c>
      <c r="Q354" s="0" t="n">
        <v>0</v>
      </c>
      <c r="R354" s="0" t="n">
        <v>1</v>
      </c>
      <c r="S354" s="0" t="s">
        <v>42</v>
      </c>
      <c r="T354" s="0" t="str">
        <f aca="false">IF(L354="inf","False","True")</f>
        <v>True</v>
      </c>
      <c r="U354" s="0" t="str">
        <f aca="false">IF(V354="inf","False","True")</f>
        <v>True</v>
      </c>
      <c r="V354" s="4" t="n">
        <v>695176.05</v>
      </c>
      <c r="W354" s="4" t="n">
        <v>171778.26</v>
      </c>
      <c r="X354" s="0" t="n">
        <v>170.64</v>
      </c>
      <c r="Y354" s="5" t="n">
        <f aca="false">V354-L354</f>
        <v>693982.05</v>
      </c>
      <c r="Z354" s="6" t="n">
        <f aca="false">Y354/L354</f>
        <v>581.224497487437</v>
      </c>
      <c r="AA354" s="3" t="n">
        <f aca="false">X354-P354</f>
        <v>159.45</v>
      </c>
      <c r="AB354" s="6" t="n">
        <f aca="false">AA354/P354</f>
        <v>14.2493297587131</v>
      </c>
    </row>
    <row r="355" customFormat="false" ht="12.75" hidden="false" customHeight="false" outlineLevel="0" collapsed="false">
      <c r="A355" s="0" t="s">
        <v>417</v>
      </c>
      <c r="B355" s="0" t="n">
        <v>3</v>
      </c>
      <c r="C355" s="0" t="s">
        <v>31</v>
      </c>
      <c r="D355" s="0" t="s">
        <v>31</v>
      </c>
      <c r="E355" s="0" t="n">
        <v>1166</v>
      </c>
      <c r="F355" s="0" t="n">
        <v>1201</v>
      </c>
      <c r="G355" s="0" t="n">
        <v>15</v>
      </c>
      <c r="H355" s="0" t="n">
        <v>6</v>
      </c>
      <c r="I355" s="0" t="n">
        <v>6</v>
      </c>
      <c r="J355" s="0" t="n">
        <v>12</v>
      </c>
      <c r="K355" s="0" t="n">
        <v>0.7</v>
      </c>
      <c r="L355" s="1" t="n">
        <v>1201</v>
      </c>
      <c r="M355" s="0" t="n">
        <v>0</v>
      </c>
      <c r="N355" s="0" t="n">
        <v>1201</v>
      </c>
      <c r="O355" s="0" t="n">
        <v>183263</v>
      </c>
      <c r="P355" s="1" t="n">
        <v>13.72</v>
      </c>
      <c r="Q355" s="0" t="n">
        <v>0</v>
      </c>
      <c r="R355" s="0" t="n">
        <v>1</v>
      </c>
      <c r="S355" s="0" t="s">
        <v>42</v>
      </c>
      <c r="T355" s="0" t="str">
        <f aca="false">IF(L355="inf","False","True")</f>
        <v>True</v>
      </c>
      <c r="U355" s="0" t="str">
        <f aca="false">IF(V355="inf","False","True")</f>
        <v>True</v>
      </c>
      <c r="V355" s="4" t="n">
        <v>307178.22</v>
      </c>
      <c r="W355" s="4" t="n">
        <v>173252.06</v>
      </c>
      <c r="X355" s="0" t="n">
        <v>375.81</v>
      </c>
      <c r="Y355" s="5" t="n">
        <f aca="false">V355-L355</f>
        <v>305977.22</v>
      </c>
      <c r="Z355" s="6" t="n">
        <f aca="false">Y355/L355</f>
        <v>254.768709408826</v>
      </c>
      <c r="AA355" s="3" t="n">
        <f aca="false">X355-P355</f>
        <v>362.09</v>
      </c>
      <c r="AB355" s="6" t="n">
        <f aca="false">AA355/P355</f>
        <v>26.3913994169096</v>
      </c>
    </row>
    <row r="356" customFormat="false" ht="12.75" hidden="false" customHeight="false" outlineLevel="0" collapsed="false">
      <c r="A356" s="0" t="s">
        <v>418</v>
      </c>
      <c r="B356" s="0" t="n">
        <v>4</v>
      </c>
      <c r="C356" s="0" t="s">
        <v>31</v>
      </c>
      <c r="D356" s="0" t="s">
        <v>31</v>
      </c>
      <c r="E356" s="0" t="n">
        <v>1166</v>
      </c>
      <c r="F356" s="0" t="n">
        <v>1292</v>
      </c>
      <c r="G356" s="0" t="n">
        <v>15</v>
      </c>
      <c r="H356" s="0" t="n">
        <v>6</v>
      </c>
      <c r="I356" s="0" t="n">
        <v>6</v>
      </c>
      <c r="J356" s="0" t="n">
        <v>12</v>
      </c>
      <c r="K356" s="0" t="n">
        <v>0.7</v>
      </c>
      <c r="L356" s="1" t="n">
        <v>1292</v>
      </c>
      <c r="M356" s="0" t="n">
        <v>0</v>
      </c>
      <c r="N356" s="0" t="n">
        <v>1292</v>
      </c>
      <c r="O356" s="0" t="n">
        <v>186434</v>
      </c>
      <c r="P356" s="1" t="n">
        <v>15.58</v>
      </c>
      <c r="Q356" s="0" t="n">
        <v>0</v>
      </c>
      <c r="R356" s="0" t="n">
        <v>2</v>
      </c>
      <c r="S356" s="0" t="s">
        <v>42</v>
      </c>
      <c r="T356" s="0" t="str">
        <f aca="false">IF(L356="inf","False","True")</f>
        <v>True</v>
      </c>
      <c r="U356" s="0" t="str">
        <f aca="false">IF(V356="inf","False","True")</f>
        <v>True</v>
      </c>
      <c r="V356" s="4" t="n">
        <v>195940.77</v>
      </c>
      <c r="W356" s="4" t="n">
        <v>178443.92</v>
      </c>
      <c r="X356" s="0" t="n">
        <v>370.99</v>
      </c>
      <c r="Y356" s="5" t="n">
        <f aca="false">V356-L356</f>
        <v>194648.77</v>
      </c>
      <c r="Z356" s="6" t="n">
        <f aca="false">Y356/L356</f>
        <v>150.656942724458</v>
      </c>
      <c r="AA356" s="3" t="n">
        <f aca="false">X356-P356</f>
        <v>355.41</v>
      </c>
      <c r="AB356" s="6" t="n">
        <f aca="false">AA356/P356</f>
        <v>22.8119383825417</v>
      </c>
    </row>
    <row r="357" customFormat="false" ht="12.75" hidden="false" customHeight="false" outlineLevel="0" collapsed="false">
      <c r="A357" s="0" t="s">
        <v>419</v>
      </c>
      <c r="B357" s="0" t="n">
        <v>0</v>
      </c>
      <c r="C357" s="0" t="s">
        <v>31</v>
      </c>
      <c r="D357" s="0" t="s">
        <v>31</v>
      </c>
      <c r="E357" s="0" t="n">
        <v>1666</v>
      </c>
      <c r="F357" s="0" t="n">
        <v>1707</v>
      </c>
      <c r="G357" s="0" t="n">
        <v>15</v>
      </c>
      <c r="H357" s="0" t="n">
        <v>6</v>
      </c>
      <c r="I357" s="0" t="n">
        <v>6</v>
      </c>
      <c r="J357" s="0" t="n">
        <v>12</v>
      </c>
      <c r="K357" s="0" t="n">
        <v>0.7</v>
      </c>
      <c r="L357" s="1" t="n">
        <v>1707</v>
      </c>
      <c r="M357" s="0" t="n">
        <v>0</v>
      </c>
      <c r="N357" s="0" t="n">
        <v>1707</v>
      </c>
      <c r="O357" s="0" t="n">
        <v>305585</v>
      </c>
      <c r="P357" s="1" t="n">
        <v>26.39</v>
      </c>
      <c r="Q357" s="0" t="n">
        <v>0</v>
      </c>
      <c r="R357" s="0" t="n">
        <v>1</v>
      </c>
      <c r="S357" s="0" t="s">
        <v>42</v>
      </c>
      <c r="T357" s="0" t="str">
        <f aca="false">IF(L357="inf","False","True")</f>
        <v>True</v>
      </c>
      <c r="U357" s="0" t="str">
        <f aca="false">IF(V357="inf","False","True")</f>
        <v>True</v>
      </c>
      <c r="V357" s="4" t="n">
        <v>592430.84</v>
      </c>
      <c r="W357" s="4" t="n">
        <v>282330.55</v>
      </c>
      <c r="X357" s="0" t="n">
        <v>2.06</v>
      </c>
      <c r="Y357" s="5" t="n">
        <f aca="false">V357-L357</f>
        <v>590723.84</v>
      </c>
      <c r="Z357" s="6" t="n">
        <f aca="false">Y357/L357</f>
        <v>346.059660222613</v>
      </c>
      <c r="AA357" s="3" t="n">
        <f aca="false">X357-P357</f>
        <v>-24.33</v>
      </c>
      <c r="AB357" s="6" t="n">
        <f aca="false">AA357/P357</f>
        <v>-0.921940128836681</v>
      </c>
    </row>
    <row r="358" customFormat="false" ht="12.75" hidden="false" customHeight="false" outlineLevel="0" collapsed="false">
      <c r="A358" s="0" t="s">
        <v>420</v>
      </c>
      <c r="B358" s="0" t="n">
        <v>1</v>
      </c>
      <c r="C358" s="0" t="s">
        <v>31</v>
      </c>
      <c r="D358" s="0" t="s">
        <v>31</v>
      </c>
      <c r="E358" s="0" t="n">
        <v>1666</v>
      </c>
      <c r="F358" s="0" t="n">
        <v>1784</v>
      </c>
      <c r="G358" s="0" t="n">
        <v>15</v>
      </c>
      <c r="H358" s="0" t="n">
        <v>6</v>
      </c>
      <c r="I358" s="0" t="n">
        <v>6</v>
      </c>
      <c r="J358" s="0" t="n">
        <v>12</v>
      </c>
      <c r="K358" s="0" t="n">
        <v>0.7</v>
      </c>
      <c r="L358" s="1" t="n">
        <v>980268.59</v>
      </c>
      <c r="M358" s="0" t="n">
        <v>978682.59</v>
      </c>
      <c r="N358" s="0" t="n">
        <v>1586</v>
      </c>
      <c r="O358" s="0" t="n">
        <v>240371.61</v>
      </c>
      <c r="P358" s="1" t="n">
        <v>612.37</v>
      </c>
      <c r="Q358" s="0" t="n">
        <v>0.25</v>
      </c>
      <c r="R358" s="0" t="n">
        <v>3</v>
      </c>
      <c r="S358" s="0" t="s">
        <v>421</v>
      </c>
      <c r="T358" s="0" t="str">
        <f aca="false">IF(L358="inf","False","True")</f>
        <v>True</v>
      </c>
      <c r="U358" s="0" t="str">
        <f aca="false">IF(V358="inf","False","True")</f>
        <v>True</v>
      </c>
      <c r="V358" s="4" t="n">
        <v>648794.97</v>
      </c>
      <c r="W358" s="4" t="n">
        <v>258220.41</v>
      </c>
      <c r="X358" s="0" t="n">
        <v>441.21</v>
      </c>
      <c r="Y358" s="5" t="n">
        <f aca="false">V358-L358</f>
        <v>-331473.62</v>
      </c>
      <c r="Z358" s="6" t="n">
        <f aca="false">Y358/L358</f>
        <v>-0.338145711676838</v>
      </c>
      <c r="AA358" s="3" t="n">
        <f aca="false">X358-P358</f>
        <v>-171.16</v>
      </c>
      <c r="AB358" s="6" t="n">
        <f aca="false">AA358/P358</f>
        <v>-0.279504221304114</v>
      </c>
    </row>
    <row r="359" customFormat="false" ht="12.75" hidden="false" customHeight="false" outlineLevel="0" collapsed="false">
      <c r="A359" s="0" t="s">
        <v>422</v>
      </c>
      <c r="B359" s="0" t="n">
        <v>2</v>
      </c>
      <c r="C359" s="0" t="s">
        <v>31</v>
      </c>
      <c r="D359" s="0" t="s">
        <v>31</v>
      </c>
      <c r="E359" s="0" t="n">
        <v>1666</v>
      </c>
      <c r="F359" s="0" t="n">
        <v>1709</v>
      </c>
      <c r="G359" s="0" t="n">
        <v>15</v>
      </c>
      <c r="H359" s="0" t="n">
        <v>6</v>
      </c>
      <c r="I359" s="0" t="n">
        <v>6</v>
      </c>
      <c r="J359" s="0" t="n">
        <v>12</v>
      </c>
      <c r="K359" s="0" t="n">
        <v>0.7</v>
      </c>
      <c r="L359" s="1" t="n">
        <v>1709</v>
      </c>
      <c r="M359" s="0" t="n">
        <v>0</v>
      </c>
      <c r="N359" s="0" t="n">
        <v>1709</v>
      </c>
      <c r="O359" s="0" t="n">
        <v>290854</v>
      </c>
      <c r="P359" s="1" t="n">
        <v>11.86</v>
      </c>
      <c r="Q359" s="0" t="n">
        <v>0</v>
      </c>
      <c r="R359" s="0" t="n">
        <v>1</v>
      </c>
      <c r="S359" s="0" t="s">
        <v>42</v>
      </c>
      <c r="T359" s="0" t="str">
        <f aca="false">IF(L359="inf","False","True")</f>
        <v>True</v>
      </c>
      <c r="U359" s="0" t="str">
        <f aca="false">IF(V359="inf","False","True")</f>
        <v>True</v>
      </c>
      <c r="V359" s="4" t="n">
        <v>1018889.34</v>
      </c>
      <c r="W359" s="4" t="n">
        <v>244118.05</v>
      </c>
      <c r="X359" s="0" t="n">
        <v>45.02</v>
      </c>
      <c r="Y359" s="5" t="n">
        <f aca="false">V359-L359</f>
        <v>1017180.34</v>
      </c>
      <c r="Z359" s="6" t="n">
        <f aca="false">Y359/L359</f>
        <v>595.19036863663</v>
      </c>
      <c r="AA359" s="3" t="n">
        <f aca="false">X359-P359</f>
        <v>33.16</v>
      </c>
      <c r="AB359" s="6" t="n">
        <f aca="false">AA359/P359</f>
        <v>2.79595278246206</v>
      </c>
    </row>
    <row r="360" customFormat="false" ht="12.75" hidden="false" customHeight="false" outlineLevel="0" collapsed="false">
      <c r="A360" s="0" t="s">
        <v>423</v>
      </c>
      <c r="B360" s="0" t="n">
        <v>3</v>
      </c>
      <c r="C360" s="0" t="s">
        <v>31</v>
      </c>
      <c r="D360" s="0" t="s">
        <v>31</v>
      </c>
      <c r="E360" s="0" t="n">
        <v>1666</v>
      </c>
      <c r="F360" s="0" t="n">
        <v>1719</v>
      </c>
      <c r="G360" s="0" t="n">
        <v>15</v>
      </c>
      <c r="H360" s="0" t="n">
        <v>6</v>
      </c>
      <c r="I360" s="0" t="n">
        <v>6</v>
      </c>
      <c r="J360" s="0" t="n">
        <v>12</v>
      </c>
      <c r="K360" s="0" t="n">
        <v>0.7</v>
      </c>
      <c r="L360" s="1" t="n">
        <v>1719</v>
      </c>
      <c r="M360" s="0" t="n">
        <v>0</v>
      </c>
      <c r="N360" s="0" t="n">
        <v>1719</v>
      </c>
      <c r="O360" s="0" t="n">
        <v>261636</v>
      </c>
      <c r="P360" s="1" t="n">
        <v>13.2</v>
      </c>
      <c r="Q360" s="0" t="n">
        <v>0</v>
      </c>
      <c r="R360" s="0" t="n">
        <v>1</v>
      </c>
      <c r="S360" s="0" t="s">
        <v>42</v>
      </c>
      <c r="T360" s="0" t="str">
        <f aca="false">IF(L360="inf","False","True")</f>
        <v>True</v>
      </c>
      <c r="U360" s="0" t="str">
        <f aca="false">IF(V360="inf","False","True")</f>
        <v>True</v>
      </c>
      <c r="V360" s="4" t="n">
        <v>730830.99</v>
      </c>
      <c r="W360" s="4" t="n">
        <v>249425.52</v>
      </c>
      <c r="X360" s="0" t="n">
        <v>167.75</v>
      </c>
      <c r="Y360" s="5" t="n">
        <f aca="false">V360-L360</f>
        <v>729111.99</v>
      </c>
      <c r="Z360" s="6" t="n">
        <f aca="false">Y360/L360</f>
        <v>424.148917975567</v>
      </c>
      <c r="AA360" s="3" t="n">
        <f aca="false">X360-P360</f>
        <v>154.55</v>
      </c>
      <c r="AB360" s="6" t="n">
        <f aca="false">AA360/P360</f>
        <v>11.7083333333333</v>
      </c>
    </row>
    <row r="361" customFormat="false" ht="12.75" hidden="false" customHeight="false" outlineLevel="0" collapsed="false">
      <c r="A361" s="0" t="s">
        <v>424</v>
      </c>
      <c r="B361" s="0" t="n">
        <v>4</v>
      </c>
      <c r="C361" s="0" t="s">
        <v>31</v>
      </c>
      <c r="D361" s="0" t="s">
        <v>31</v>
      </c>
      <c r="E361" s="0" t="n">
        <v>1666</v>
      </c>
      <c r="F361" s="0" t="n">
        <v>1848</v>
      </c>
      <c r="G361" s="0" t="n">
        <v>15</v>
      </c>
      <c r="H361" s="0" t="n">
        <v>6</v>
      </c>
      <c r="I361" s="0" t="n">
        <v>6</v>
      </c>
      <c r="J361" s="0" t="n">
        <v>12</v>
      </c>
      <c r="K361" s="0" t="n">
        <v>0.7</v>
      </c>
      <c r="L361" s="1" t="n">
        <v>1848</v>
      </c>
      <c r="M361" s="0" t="n">
        <v>0</v>
      </c>
      <c r="N361" s="0" t="n">
        <v>1848</v>
      </c>
      <c r="O361" s="0" t="n">
        <v>266230</v>
      </c>
      <c r="P361" s="1" t="n">
        <v>13.05</v>
      </c>
      <c r="Q361" s="0" t="n">
        <v>0</v>
      </c>
      <c r="R361" s="0" t="n">
        <v>1</v>
      </c>
      <c r="S361" s="0" t="s">
        <v>42</v>
      </c>
      <c r="T361" s="0" t="str">
        <f aca="false">IF(L361="inf","False","True")</f>
        <v>True</v>
      </c>
      <c r="U361" s="0" t="str">
        <f aca="false">IF(V361="inf","False","True")</f>
        <v>True</v>
      </c>
      <c r="V361" s="4" t="n">
        <v>258977.17</v>
      </c>
      <c r="W361" s="4" t="n">
        <v>255564.52</v>
      </c>
      <c r="X361" s="0" t="n">
        <v>343.25</v>
      </c>
      <c r="Y361" s="5" t="n">
        <f aca="false">V361-L361</f>
        <v>257129.17</v>
      </c>
      <c r="Z361" s="6" t="n">
        <f aca="false">Y361/L361</f>
        <v>139.139161255411</v>
      </c>
      <c r="AA361" s="3" t="n">
        <f aca="false">X361-P361</f>
        <v>330.2</v>
      </c>
      <c r="AB361" s="6" t="n">
        <f aca="false">AA361/P361</f>
        <v>25.3026819923372</v>
      </c>
    </row>
    <row r="362" customFormat="false" ht="12.75" hidden="false" customHeight="false" outlineLevel="0" collapsed="false">
      <c r="A362" s="0" t="s">
        <v>425</v>
      </c>
      <c r="B362" s="0" t="n">
        <v>0</v>
      </c>
      <c r="C362" s="0" t="s">
        <v>31</v>
      </c>
      <c r="D362" s="0" t="s">
        <v>31</v>
      </c>
      <c r="E362" s="0" t="n">
        <v>333</v>
      </c>
      <c r="F362" s="0" t="n">
        <v>1252</v>
      </c>
      <c r="G362" s="0" t="n">
        <v>5</v>
      </c>
      <c r="H362" s="0" t="n">
        <v>9</v>
      </c>
      <c r="I362" s="0" t="n">
        <v>9</v>
      </c>
      <c r="J362" s="0" t="n">
        <v>4</v>
      </c>
      <c r="K362" s="0" t="n">
        <v>0.7</v>
      </c>
      <c r="L362" s="1" t="n">
        <v>40399.09</v>
      </c>
      <c r="M362" s="0" t="n">
        <v>39171.21</v>
      </c>
      <c r="N362" s="0" t="n">
        <v>1227.88</v>
      </c>
      <c r="O362" s="0" t="n">
        <v>17956.21</v>
      </c>
      <c r="P362" s="1" t="n">
        <v>11.57</v>
      </c>
      <c r="Q362" s="0" t="n">
        <v>0</v>
      </c>
      <c r="R362" s="0" t="n">
        <v>1</v>
      </c>
      <c r="S362" s="0" t="s">
        <v>42</v>
      </c>
      <c r="T362" s="0" t="str">
        <f aca="false">IF(L362="inf","False","True")</f>
        <v>True</v>
      </c>
      <c r="U362" s="0" t="str">
        <f aca="false">IF(V362="inf","False","True")</f>
        <v>False</v>
      </c>
      <c r="V362" s="4" t="s">
        <v>37</v>
      </c>
      <c r="W362" s="4" t="s">
        <v>37</v>
      </c>
      <c r="X362" s="0" t="n">
        <v>10.38</v>
      </c>
      <c r="Y362" s="5" t="e">
        <f aca="false">V362-L362</f>
        <v>#VALUE!</v>
      </c>
      <c r="Z362" s="6" t="e">
        <f aca="false">Y362/L362</f>
        <v>#VALUE!</v>
      </c>
      <c r="AA362" s="3" t="n">
        <f aca="false">X362-P362</f>
        <v>-1.19</v>
      </c>
      <c r="AB362" s="6" t="n">
        <f aca="false">AA362/P362</f>
        <v>-0.102852203975799</v>
      </c>
    </row>
    <row r="363" customFormat="false" ht="12.75" hidden="false" customHeight="false" outlineLevel="0" collapsed="false">
      <c r="A363" s="0" t="s">
        <v>426</v>
      </c>
      <c r="B363" s="0" t="n">
        <v>1</v>
      </c>
      <c r="C363" s="0" t="s">
        <v>31</v>
      </c>
      <c r="D363" s="0" t="s">
        <v>31</v>
      </c>
      <c r="E363" s="0" t="n">
        <v>333</v>
      </c>
      <c r="F363" s="0" t="n">
        <v>1362</v>
      </c>
      <c r="G363" s="0" t="n">
        <v>5</v>
      </c>
      <c r="H363" s="0" t="n">
        <v>9</v>
      </c>
      <c r="I363" s="0" t="n">
        <v>9</v>
      </c>
      <c r="J363" s="0" t="n">
        <v>4</v>
      </c>
      <c r="K363" s="0" t="n">
        <v>0.7</v>
      </c>
      <c r="L363" s="1" t="n">
        <v>70649.84</v>
      </c>
      <c r="M363" s="0" t="n">
        <v>69361.51</v>
      </c>
      <c r="N363" s="0" t="n">
        <v>1288.33</v>
      </c>
      <c r="O363" s="0" t="n">
        <v>18603.34</v>
      </c>
      <c r="P363" s="1" t="n">
        <v>20.04</v>
      </c>
      <c r="Q363" s="0" t="n">
        <v>0</v>
      </c>
      <c r="R363" s="0" t="n">
        <v>2</v>
      </c>
      <c r="S363" s="0" t="s">
        <v>32</v>
      </c>
      <c r="T363" s="0" t="str">
        <f aca="false">IF(L363="inf","False","True")</f>
        <v>True</v>
      </c>
      <c r="U363" s="0" t="str">
        <f aca="false">IF(V363="inf","False","True")</f>
        <v>True</v>
      </c>
      <c r="V363" s="4" t="n">
        <v>57871.7</v>
      </c>
      <c r="W363" s="4" t="n">
        <v>19822</v>
      </c>
      <c r="X363" s="0" t="n">
        <v>2.11</v>
      </c>
      <c r="Y363" s="5" t="n">
        <f aca="false">V363-L363</f>
        <v>-12778.14</v>
      </c>
      <c r="Z363" s="6" t="n">
        <f aca="false">Y363/L363</f>
        <v>-0.180865802385398</v>
      </c>
      <c r="AA363" s="3" t="n">
        <f aca="false">X363-P363</f>
        <v>-17.93</v>
      </c>
      <c r="AB363" s="6" t="n">
        <f aca="false">AA363/P363</f>
        <v>-0.894710578842315</v>
      </c>
    </row>
    <row r="364" customFormat="false" ht="12.75" hidden="false" customHeight="false" outlineLevel="0" collapsed="false">
      <c r="A364" s="0" t="s">
        <v>427</v>
      </c>
      <c r="B364" s="0" t="n">
        <v>2</v>
      </c>
      <c r="C364" s="0" t="s">
        <v>31</v>
      </c>
      <c r="D364" s="0" t="s">
        <v>31</v>
      </c>
      <c r="E364" s="0" t="n">
        <v>333</v>
      </c>
      <c r="F364" s="0" t="n">
        <v>1304</v>
      </c>
      <c r="G364" s="0" t="n">
        <v>5</v>
      </c>
      <c r="H364" s="0" t="n">
        <v>9</v>
      </c>
      <c r="I364" s="0" t="n">
        <v>9</v>
      </c>
      <c r="J364" s="0" t="n">
        <v>4</v>
      </c>
      <c r="K364" s="0" t="n">
        <v>0.7</v>
      </c>
      <c r="L364" s="1" t="n">
        <v>71020.66</v>
      </c>
      <c r="M364" s="0" t="n">
        <v>69751.76</v>
      </c>
      <c r="N364" s="0" t="n">
        <v>1268.9</v>
      </c>
      <c r="O364" s="0" t="n">
        <v>19120.61</v>
      </c>
      <c r="P364" s="1" t="n">
        <v>22.51</v>
      </c>
      <c r="Q364" s="0" t="n">
        <v>0</v>
      </c>
      <c r="R364" s="0" t="n">
        <v>7</v>
      </c>
      <c r="S364" s="0" t="s">
        <v>32</v>
      </c>
      <c r="T364" s="0" t="str">
        <f aca="false">IF(L364="inf","False","True")</f>
        <v>True</v>
      </c>
      <c r="U364" s="0" t="str">
        <f aca="false">IF(V364="inf","False","True")</f>
        <v>False</v>
      </c>
      <c r="V364" s="4" t="s">
        <v>37</v>
      </c>
      <c r="W364" s="4" t="s">
        <v>37</v>
      </c>
      <c r="X364" s="0" t="n">
        <v>9.27</v>
      </c>
      <c r="Y364" s="5" t="e">
        <f aca="false">V364-L364</f>
        <v>#VALUE!</v>
      </c>
      <c r="Z364" s="6" t="e">
        <f aca="false">Y364/L364</f>
        <v>#VALUE!</v>
      </c>
      <c r="AA364" s="3" t="n">
        <f aca="false">X364-P364</f>
        <v>-13.24</v>
      </c>
      <c r="AB364" s="6" t="n">
        <f aca="false">AA364/P364</f>
        <v>-0.588183029764549</v>
      </c>
    </row>
    <row r="365" customFormat="false" ht="12.75" hidden="false" customHeight="false" outlineLevel="0" collapsed="false">
      <c r="A365" s="0" t="s">
        <v>428</v>
      </c>
      <c r="B365" s="0" t="n">
        <v>3</v>
      </c>
      <c r="C365" s="0" t="s">
        <v>31</v>
      </c>
      <c r="D365" s="0" t="s">
        <v>31</v>
      </c>
      <c r="E365" s="0" t="n">
        <v>333</v>
      </c>
      <c r="F365" s="0" t="n">
        <v>1217</v>
      </c>
      <c r="G365" s="0" t="n">
        <v>5</v>
      </c>
      <c r="H365" s="0" t="n">
        <v>9</v>
      </c>
      <c r="I365" s="0" t="n">
        <v>9</v>
      </c>
      <c r="J365" s="0" t="n">
        <v>4</v>
      </c>
      <c r="K365" s="0" t="n">
        <v>0.7</v>
      </c>
      <c r="L365" s="1" t="n">
        <v>43667.28</v>
      </c>
      <c r="M365" s="0" t="n">
        <v>42484.2</v>
      </c>
      <c r="N365" s="0" t="n">
        <v>1183.09</v>
      </c>
      <c r="O365" s="0" t="n">
        <v>19302.28</v>
      </c>
      <c r="P365" s="1" t="n">
        <v>18.02</v>
      </c>
      <c r="Q365" s="0" t="n">
        <v>0</v>
      </c>
      <c r="R365" s="0" t="n">
        <v>10</v>
      </c>
      <c r="S365" s="0" t="s">
        <v>32</v>
      </c>
      <c r="T365" s="0" t="str">
        <f aca="false">IF(L365="inf","False","True")</f>
        <v>True</v>
      </c>
      <c r="U365" s="0" t="str">
        <f aca="false">IF(V365="inf","False","True")</f>
        <v>False</v>
      </c>
      <c r="V365" s="4" t="s">
        <v>37</v>
      </c>
      <c r="W365" s="4" t="s">
        <v>37</v>
      </c>
      <c r="X365" s="0" t="n">
        <v>8.39</v>
      </c>
      <c r="Y365" s="5" t="e">
        <f aca="false">V365-L365</f>
        <v>#VALUE!</v>
      </c>
      <c r="Z365" s="6" t="e">
        <f aca="false">Y365/L365</f>
        <v>#VALUE!</v>
      </c>
      <c r="AA365" s="3" t="n">
        <f aca="false">X365-P365</f>
        <v>-9.63</v>
      </c>
      <c r="AB365" s="6" t="n">
        <f aca="false">AA365/P365</f>
        <v>-0.534406215316315</v>
      </c>
    </row>
    <row r="366" customFormat="false" ht="12.75" hidden="false" customHeight="false" outlineLevel="0" collapsed="false">
      <c r="A366" s="0" t="s">
        <v>429</v>
      </c>
      <c r="B366" s="0" t="n">
        <v>4</v>
      </c>
      <c r="C366" s="0" t="s">
        <v>31</v>
      </c>
      <c r="D366" s="0" t="s">
        <v>31</v>
      </c>
      <c r="E366" s="0" t="n">
        <v>333</v>
      </c>
      <c r="F366" s="0" t="n">
        <v>1321</v>
      </c>
      <c r="G366" s="0" t="n">
        <v>5</v>
      </c>
      <c r="H366" s="0" t="n">
        <v>9</v>
      </c>
      <c r="I366" s="0" t="n">
        <v>9</v>
      </c>
      <c r="J366" s="0" t="n">
        <v>4</v>
      </c>
      <c r="K366" s="0" t="n">
        <v>0.7</v>
      </c>
      <c r="L366" s="1" t="n">
        <v>51390.98</v>
      </c>
      <c r="M366" s="0" t="n">
        <v>50109.35</v>
      </c>
      <c r="N366" s="0" t="n">
        <v>1281.63</v>
      </c>
      <c r="O366" s="0" t="n">
        <v>18762.36</v>
      </c>
      <c r="P366" s="1" t="n">
        <v>18.13</v>
      </c>
      <c r="Q366" s="0" t="n">
        <v>0</v>
      </c>
      <c r="R366" s="0" t="n">
        <v>7</v>
      </c>
      <c r="S366" s="0" t="s">
        <v>32</v>
      </c>
      <c r="T366" s="0" t="str">
        <f aca="false">IF(L366="inf","False","True")</f>
        <v>True</v>
      </c>
      <c r="U366" s="0" t="str">
        <f aca="false">IF(V366="inf","False","True")</f>
        <v>True</v>
      </c>
      <c r="V366" s="4" t="n">
        <v>64279.59</v>
      </c>
      <c r="W366" s="4" t="n">
        <v>19351.24</v>
      </c>
      <c r="X366" s="0" t="n">
        <v>6.27</v>
      </c>
      <c r="Y366" s="5" t="n">
        <f aca="false">V366-L366</f>
        <v>12888.61</v>
      </c>
      <c r="Z366" s="6" t="n">
        <f aca="false">Y366/L366</f>
        <v>0.250795178453495</v>
      </c>
      <c r="AA366" s="3" t="n">
        <f aca="false">X366-P366</f>
        <v>-11.86</v>
      </c>
      <c r="AB366" s="6" t="n">
        <f aca="false">AA366/P366</f>
        <v>-0.654164368450083</v>
      </c>
    </row>
    <row r="367" customFormat="false" ht="12.75" hidden="false" customHeight="false" outlineLevel="0" collapsed="false">
      <c r="A367" s="0" t="s">
        <v>430</v>
      </c>
      <c r="B367" s="0" t="n">
        <v>0</v>
      </c>
      <c r="C367" s="0" t="s">
        <v>31</v>
      </c>
      <c r="D367" s="0" t="s">
        <v>31</v>
      </c>
      <c r="E367" s="0" t="n">
        <v>555</v>
      </c>
      <c r="F367" s="0" t="n">
        <v>2092</v>
      </c>
      <c r="G367" s="0" t="n">
        <v>5</v>
      </c>
      <c r="H367" s="0" t="n">
        <v>9</v>
      </c>
      <c r="I367" s="0" t="n">
        <v>9</v>
      </c>
      <c r="J367" s="0" t="n">
        <v>4</v>
      </c>
      <c r="K367" s="0" t="n">
        <v>0.7</v>
      </c>
      <c r="L367" s="1" t="n">
        <v>96782.9</v>
      </c>
      <c r="M367" s="0" t="n">
        <v>94819.97</v>
      </c>
      <c r="N367" s="0" t="n">
        <v>1962.93</v>
      </c>
      <c r="O367" s="0" t="n">
        <v>31263.89</v>
      </c>
      <c r="P367" s="1" t="n">
        <v>17.01</v>
      </c>
      <c r="Q367" s="0" t="n">
        <v>0</v>
      </c>
      <c r="R367" s="0" t="n">
        <v>3</v>
      </c>
      <c r="S367" s="0" t="s">
        <v>32</v>
      </c>
      <c r="T367" s="0" t="str">
        <f aca="false">IF(L367="inf","False","True")</f>
        <v>True</v>
      </c>
      <c r="U367" s="0" t="str">
        <f aca="false">IF(V367="inf","False","True")</f>
        <v>False</v>
      </c>
      <c r="V367" s="4" t="s">
        <v>37</v>
      </c>
      <c r="W367" s="4" t="s">
        <v>37</v>
      </c>
      <c r="X367" s="0" t="n">
        <v>8.51</v>
      </c>
      <c r="Y367" s="5" t="e">
        <f aca="false">V367-L367</f>
        <v>#VALUE!</v>
      </c>
      <c r="Z367" s="6" t="e">
        <f aca="false">Y367/L367</f>
        <v>#VALUE!</v>
      </c>
      <c r="AA367" s="3" t="n">
        <f aca="false">X367-P367</f>
        <v>-8.5</v>
      </c>
      <c r="AB367" s="6" t="n">
        <f aca="false">AA367/P367</f>
        <v>-0.499706055261611</v>
      </c>
    </row>
    <row r="368" customFormat="false" ht="12.75" hidden="false" customHeight="false" outlineLevel="0" collapsed="false">
      <c r="A368" s="0" t="s">
        <v>431</v>
      </c>
      <c r="B368" s="0" t="n">
        <v>1</v>
      </c>
      <c r="C368" s="0" t="s">
        <v>31</v>
      </c>
      <c r="D368" s="0" t="s">
        <v>31</v>
      </c>
      <c r="E368" s="0" t="n">
        <v>555</v>
      </c>
      <c r="F368" s="0" t="n">
        <v>2275</v>
      </c>
      <c r="G368" s="0" t="n">
        <v>5</v>
      </c>
      <c r="H368" s="0" t="n">
        <v>9</v>
      </c>
      <c r="I368" s="0" t="n">
        <v>9</v>
      </c>
      <c r="J368" s="0" t="n">
        <v>4</v>
      </c>
      <c r="K368" s="0" t="n">
        <v>0.7</v>
      </c>
      <c r="L368" s="1" t="n">
        <v>98064.82</v>
      </c>
      <c r="M368" s="0" t="n">
        <v>95981.08</v>
      </c>
      <c r="N368" s="0" t="n">
        <v>2083.73</v>
      </c>
      <c r="O368" s="0" t="n">
        <v>33148.43</v>
      </c>
      <c r="P368" s="1" t="n">
        <v>31.11</v>
      </c>
      <c r="Q368" s="0" t="n">
        <v>0</v>
      </c>
      <c r="R368" s="0" t="n">
        <v>16</v>
      </c>
      <c r="S368" s="0" t="s">
        <v>32</v>
      </c>
      <c r="T368" s="0" t="str">
        <f aca="false">IF(L368="inf","False","True")</f>
        <v>True</v>
      </c>
      <c r="U368" s="0" t="str">
        <f aca="false">IF(V368="inf","False","True")</f>
        <v>False</v>
      </c>
      <c r="V368" s="4" t="s">
        <v>37</v>
      </c>
      <c r="W368" s="4" t="s">
        <v>37</v>
      </c>
      <c r="X368" s="0" t="n">
        <v>9.16</v>
      </c>
      <c r="Y368" s="5" t="e">
        <f aca="false">V368-L368</f>
        <v>#VALUE!</v>
      </c>
      <c r="Z368" s="6" t="e">
        <f aca="false">Y368/L368</f>
        <v>#VALUE!</v>
      </c>
      <c r="AA368" s="3" t="n">
        <f aca="false">X368-P368</f>
        <v>-21.95</v>
      </c>
      <c r="AB368" s="6" t="n">
        <f aca="false">AA368/P368</f>
        <v>-0.705560912889746</v>
      </c>
    </row>
    <row r="369" customFormat="false" ht="12.75" hidden="false" customHeight="false" outlineLevel="0" collapsed="false">
      <c r="A369" s="0" t="s">
        <v>432</v>
      </c>
      <c r="B369" s="0" t="n">
        <v>2</v>
      </c>
      <c r="C369" s="0" t="s">
        <v>31</v>
      </c>
      <c r="D369" s="0" t="s">
        <v>31</v>
      </c>
      <c r="E369" s="0" t="n">
        <v>555</v>
      </c>
      <c r="F369" s="0" t="n">
        <v>2178</v>
      </c>
      <c r="G369" s="0" t="n">
        <v>5</v>
      </c>
      <c r="H369" s="0" t="n">
        <v>9</v>
      </c>
      <c r="I369" s="0" t="n">
        <v>9</v>
      </c>
      <c r="J369" s="0" t="n">
        <v>4</v>
      </c>
      <c r="K369" s="0" t="n">
        <v>0.7</v>
      </c>
      <c r="L369" s="1" t="n">
        <v>112924.11</v>
      </c>
      <c r="M369" s="0" t="n">
        <v>110817.36</v>
      </c>
      <c r="N369" s="0" t="n">
        <v>2106.74</v>
      </c>
      <c r="O369" s="0" t="n">
        <v>31733.56</v>
      </c>
      <c r="P369" s="1" t="n">
        <v>25.56</v>
      </c>
      <c r="Q369" s="0" t="n">
        <v>0</v>
      </c>
      <c r="R369" s="0" t="n">
        <v>7</v>
      </c>
      <c r="S369" s="0" t="s">
        <v>32</v>
      </c>
      <c r="T369" s="0" t="str">
        <f aca="false">IF(L369="inf","False","True")</f>
        <v>True</v>
      </c>
      <c r="U369" s="0" t="str">
        <f aca="false">IF(V369="inf","False","True")</f>
        <v>False</v>
      </c>
      <c r="V369" s="4" t="s">
        <v>37</v>
      </c>
      <c r="W369" s="4" t="s">
        <v>37</v>
      </c>
      <c r="X369" s="0" t="n">
        <v>8.91</v>
      </c>
      <c r="Y369" s="5" t="e">
        <f aca="false">V369-L369</f>
        <v>#VALUE!</v>
      </c>
      <c r="Z369" s="6" t="e">
        <f aca="false">Y369/L369</f>
        <v>#VALUE!</v>
      </c>
      <c r="AA369" s="3" t="n">
        <f aca="false">X369-P369</f>
        <v>-16.65</v>
      </c>
      <c r="AB369" s="6" t="n">
        <f aca="false">AA369/P369</f>
        <v>-0.651408450704225</v>
      </c>
    </row>
    <row r="370" customFormat="false" ht="12.75" hidden="false" customHeight="false" outlineLevel="0" collapsed="false">
      <c r="A370" s="0" t="s">
        <v>433</v>
      </c>
      <c r="B370" s="0" t="n">
        <v>3</v>
      </c>
      <c r="C370" s="0" t="s">
        <v>31</v>
      </c>
      <c r="D370" s="0" t="s">
        <v>31</v>
      </c>
      <c r="E370" s="0" t="n">
        <v>555</v>
      </c>
      <c r="F370" s="0" t="n">
        <v>2031</v>
      </c>
      <c r="G370" s="0" t="n">
        <v>5</v>
      </c>
      <c r="H370" s="0" t="n">
        <v>9</v>
      </c>
      <c r="I370" s="0" t="n">
        <v>9</v>
      </c>
      <c r="J370" s="0" t="n">
        <v>4</v>
      </c>
      <c r="K370" s="0" t="n">
        <v>0.7</v>
      </c>
      <c r="L370" s="1" t="n">
        <v>49074.47</v>
      </c>
      <c r="M370" s="0" t="n">
        <v>47093.69</v>
      </c>
      <c r="N370" s="0" t="n">
        <v>1980.78</v>
      </c>
      <c r="O370" s="0" t="n">
        <v>33052.66</v>
      </c>
      <c r="P370" s="1" t="n">
        <v>7.98</v>
      </c>
      <c r="Q370" s="0" t="n">
        <v>0</v>
      </c>
      <c r="R370" s="0" t="n">
        <v>2</v>
      </c>
      <c r="S370" s="0" t="s">
        <v>32</v>
      </c>
      <c r="T370" s="0" t="str">
        <f aca="false">IF(L370="inf","False","True")</f>
        <v>True</v>
      </c>
      <c r="U370" s="0" t="str">
        <f aca="false">IF(V370="inf","False","True")</f>
        <v>False</v>
      </c>
      <c r="V370" s="4" t="s">
        <v>37</v>
      </c>
      <c r="W370" s="4" t="s">
        <v>37</v>
      </c>
      <c r="X370" s="0" t="n">
        <v>9.13</v>
      </c>
      <c r="Y370" s="5" t="e">
        <f aca="false">V370-L370</f>
        <v>#VALUE!</v>
      </c>
      <c r="Z370" s="6" t="e">
        <f aca="false">Y370/L370</f>
        <v>#VALUE!</v>
      </c>
      <c r="AA370" s="3" t="n">
        <f aca="false">X370-P370</f>
        <v>1.15</v>
      </c>
      <c r="AB370" s="6" t="n">
        <f aca="false">AA370/P370</f>
        <v>0.144110275689223</v>
      </c>
    </row>
    <row r="371" customFormat="false" ht="12.75" hidden="false" customHeight="false" outlineLevel="0" collapsed="false">
      <c r="A371" s="0" t="s">
        <v>434</v>
      </c>
      <c r="B371" s="0" t="n">
        <v>4</v>
      </c>
      <c r="C371" s="0" t="s">
        <v>31</v>
      </c>
      <c r="D371" s="0" t="s">
        <v>31</v>
      </c>
      <c r="E371" s="0" t="n">
        <v>555</v>
      </c>
      <c r="F371" s="0" t="n">
        <v>2205</v>
      </c>
      <c r="G371" s="0" t="n">
        <v>5</v>
      </c>
      <c r="H371" s="0" t="n">
        <v>9</v>
      </c>
      <c r="I371" s="0" t="n">
        <v>9</v>
      </c>
      <c r="J371" s="0" t="n">
        <v>4</v>
      </c>
      <c r="K371" s="0" t="n">
        <v>0.7</v>
      </c>
      <c r="L371" s="1" t="n">
        <v>89340.75</v>
      </c>
      <c r="M371" s="0" t="n">
        <v>87197.22</v>
      </c>
      <c r="N371" s="0" t="n">
        <v>2143.53</v>
      </c>
      <c r="O371" s="0" t="n">
        <v>30190.11</v>
      </c>
      <c r="P371" s="1" t="n">
        <v>15.64</v>
      </c>
      <c r="Q371" s="0" t="n">
        <v>0</v>
      </c>
      <c r="R371" s="0" t="n">
        <v>5</v>
      </c>
      <c r="S371" s="0" t="s">
        <v>32</v>
      </c>
      <c r="T371" s="0" t="str">
        <f aca="false">IF(L371="inf","False","True")</f>
        <v>True</v>
      </c>
      <c r="U371" s="0" t="str">
        <f aca="false">IF(V371="inf","False","True")</f>
        <v>True</v>
      </c>
      <c r="V371" s="4" t="n">
        <v>78754.02</v>
      </c>
      <c r="W371" s="4" t="n">
        <v>31985.07</v>
      </c>
      <c r="X371" s="0" t="n">
        <v>4.69</v>
      </c>
      <c r="Y371" s="5" t="n">
        <f aca="false">V371-L371</f>
        <v>-10586.73</v>
      </c>
      <c r="Z371" s="6" t="n">
        <f aca="false">Y371/L371</f>
        <v>-0.118498333627152</v>
      </c>
      <c r="AA371" s="3" t="n">
        <f aca="false">X371-P371</f>
        <v>-10.95</v>
      </c>
      <c r="AB371" s="6" t="n">
        <f aca="false">AA371/P371</f>
        <v>-0.700127877237852</v>
      </c>
    </row>
    <row r="372" customFormat="false" ht="12.75" hidden="false" customHeight="false" outlineLevel="0" collapsed="false">
      <c r="A372" s="0" t="s">
        <v>435</v>
      </c>
      <c r="B372" s="0" t="n">
        <v>0</v>
      </c>
      <c r="C372" s="0" t="s">
        <v>31</v>
      </c>
      <c r="D372" s="0" t="s">
        <v>31</v>
      </c>
      <c r="E372" s="0" t="n">
        <v>777</v>
      </c>
      <c r="F372" s="0" t="n">
        <v>2929</v>
      </c>
      <c r="G372" s="0" t="n">
        <v>5</v>
      </c>
      <c r="H372" s="0" t="n">
        <v>9</v>
      </c>
      <c r="I372" s="0" t="n">
        <v>9</v>
      </c>
      <c r="J372" s="0" t="n">
        <v>4</v>
      </c>
      <c r="K372" s="0" t="n">
        <v>0.7</v>
      </c>
      <c r="L372" s="1" t="n">
        <v>112120.55</v>
      </c>
      <c r="M372" s="0" t="n">
        <v>109224.43</v>
      </c>
      <c r="N372" s="0" t="n">
        <v>2896.11</v>
      </c>
      <c r="O372" s="0" t="n">
        <v>42997.34</v>
      </c>
      <c r="P372" s="1" t="n">
        <v>35.25</v>
      </c>
      <c r="Q372" s="0" t="n">
        <v>0</v>
      </c>
      <c r="R372" s="0" t="n">
        <v>15</v>
      </c>
      <c r="S372" s="0" t="s">
        <v>32</v>
      </c>
      <c r="T372" s="0" t="str">
        <f aca="false">IF(L372="inf","False","True")</f>
        <v>True</v>
      </c>
      <c r="U372" s="0" t="str">
        <f aca="false">IF(V372="inf","False","True")</f>
        <v>False</v>
      </c>
      <c r="V372" s="4" t="s">
        <v>37</v>
      </c>
      <c r="W372" s="4" t="s">
        <v>37</v>
      </c>
      <c r="X372" s="0" t="n">
        <v>9.23</v>
      </c>
      <c r="Y372" s="5" t="e">
        <f aca="false">V372-L372</f>
        <v>#VALUE!</v>
      </c>
      <c r="Z372" s="6" t="e">
        <f aca="false">Y372/L372</f>
        <v>#VALUE!</v>
      </c>
      <c r="AA372" s="3" t="n">
        <f aca="false">X372-P372</f>
        <v>-26.02</v>
      </c>
      <c r="AB372" s="6" t="n">
        <f aca="false">AA372/P372</f>
        <v>-0.738156028368794</v>
      </c>
    </row>
    <row r="373" customFormat="false" ht="12.75" hidden="false" customHeight="false" outlineLevel="0" collapsed="false">
      <c r="A373" s="0" t="s">
        <v>436</v>
      </c>
      <c r="B373" s="0" t="n">
        <v>1</v>
      </c>
      <c r="C373" s="0" t="s">
        <v>31</v>
      </c>
      <c r="D373" s="0" t="s">
        <v>31</v>
      </c>
      <c r="E373" s="0" t="n">
        <v>777</v>
      </c>
      <c r="F373" s="0" t="n">
        <v>3188</v>
      </c>
      <c r="G373" s="0" t="n">
        <v>5</v>
      </c>
      <c r="H373" s="0" t="n">
        <v>9</v>
      </c>
      <c r="I373" s="0" t="n">
        <v>9</v>
      </c>
      <c r="J373" s="0" t="n">
        <v>4</v>
      </c>
      <c r="K373" s="0" t="n">
        <v>0.7</v>
      </c>
      <c r="L373" s="1" t="n">
        <v>139387.03</v>
      </c>
      <c r="M373" s="0" t="n">
        <v>136416.74</v>
      </c>
      <c r="N373" s="0" t="n">
        <v>2970.3</v>
      </c>
      <c r="O373" s="0" t="n">
        <v>45399.29</v>
      </c>
      <c r="P373" s="1" t="n">
        <v>18.96</v>
      </c>
      <c r="Q373" s="0" t="n">
        <v>0</v>
      </c>
      <c r="R373" s="0" t="n">
        <v>3</v>
      </c>
      <c r="S373" s="0" t="s">
        <v>32</v>
      </c>
      <c r="T373" s="0" t="str">
        <f aca="false">IF(L373="inf","False","True")</f>
        <v>True</v>
      </c>
      <c r="U373" s="0" t="str">
        <f aca="false">IF(V373="inf","False","True")</f>
        <v>False</v>
      </c>
      <c r="V373" s="4" t="s">
        <v>37</v>
      </c>
      <c r="W373" s="4" t="s">
        <v>37</v>
      </c>
      <c r="X373" s="0" t="n">
        <v>10.5</v>
      </c>
      <c r="Y373" s="5" t="e">
        <f aca="false">V373-L373</f>
        <v>#VALUE!</v>
      </c>
      <c r="Z373" s="6" t="e">
        <f aca="false">Y373/L373</f>
        <v>#VALUE!</v>
      </c>
      <c r="AA373" s="3" t="n">
        <f aca="false">X373-P373</f>
        <v>-8.46</v>
      </c>
      <c r="AB373" s="6" t="n">
        <f aca="false">AA373/P373</f>
        <v>-0.44620253164557</v>
      </c>
    </row>
    <row r="374" customFormat="false" ht="12.75" hidden="false" customHeight="false" outlineLevel="0" collapsed="false">
      <c r="A374" s="0" t="s">
        <v>437</v>
      </c>
      <c r="B374" s="0" t="n">
        <v>2</v>
      </c>
      <c r="C374" s="0" t="s">
        <v>31</v>
      </c>
      <c r="D374" s="0" t="s">
        <v>31</v>
      </c>
      <c r="E374" s="0" t="n">
        <v>777</v>
      </c>
      <c r="F374" s="0" t="n">
        <v>3053</v>
      </c>
      <c r="G374" s="0" t="n">
        <v>5</v>
      </c>
      <c r="H374" s="0" t="n">
        <v>9</v>
      </c>
      <c r="I374" s="0" t="n">
        <v>9</v>
      </c>
      <c r="J374" s="0" t="n">
        <v>4</v>
      </c>
      <c r="K374" s="0" t="n">
        <v>0.7</v>
      </c>
      <c r="L374" s="1" t="n">
        <v>162603.73</v>
      </c>
      <c r="M374" s="0" t="n">
        <v>159600.65</v>
      </c>
      <c r="N374" s="0" t="n">
        <v>3003.09</v>
      </c>
      <c r="O374" s="0" t="n">
        <v>44471.93</v>
      </c>
      <c r="P374" s="1" t="n">
        <v>13.48</v>
      </c>
      <c r="Q374" s="0" t="n">
        <v>0</v>
      </c>
      <c r="R374" s="0" t="n">
        <v>2</v>
      </c>
      <c r="S374" s="0" t="s">
        <v>32</v>
      </c>
      <c r="T374" s="0" t="str">
        <f aca="false">IF(L374="inf","False","True")</f>
        <v>True</v>
      </c>
      <c r="U374" s="0" t="str">
        <f aca="false">IF(V374="inf","False","True")</f>
        <v>False</v>
      </c>
      <c r="V374" s="4" t="s">
        <v>37</v>
      </c>
      <c r="W374" s="4" t="s">
        <v>37</v>
      </c>
      <c r="X374" s="0" t="n">
        <v>9.09</v>
      </c>
      <c r="Y374" s="5" t="e">
        <f aca="false">V374-L374</f>
        <v>#VALUE!</v>
      </c>
      <c r="Z374" s="6" t="e">
        <f aca="false">Y374/L374</f>
        <v>#VALUE!</v>
      </c>
      <c r="AA374" s="3" t="n">
        <f aca="false">X374-P374</f>
        <v>-4.39</v>
      </c>
      <c r="AB374" s="6" t="n">
        <f aca="false">AA374/P374</f>
        <v>-0.32566765578635</v>
      </c>
    </row>
    <row r="375" customFormat="false" ht="12.75" hidden="false" customHeight="false" outlineLevel="0" collapsed="false">
      <c r="A375" s="0" t="s">
        <v>438</v>
      </c>
      <c r="B375" s="0" t="n">
        <v>3</v>
      </c>
      <c r="C375" s="0" t="s">
        <v>31</v>
      </c>
      <c r="D375" s="0" t="s">
        <v>31</v>
      </c>
      <c r="E375" s="0" t="n">
        <v>777</v>
      </c>
      <c r="F375" s="0" t="n">
        <v>2848</v>
      </c>
      <c r="G375" s="0" t="n">
        <v>5</v>
      </c>
      <c r="H375" s="0" t="n">
        <v>9</v>
      </c>
      <c r="I375" s="0" t="n">
        <v>9</v>
      </c>
      <c r="J375" s="0" t="n">
        <v>4</v>
      </c>
      <c r="K375" s="0" t="n">
        <v>0.7</v>
      </c>
      <c r="L375" s="1" t="n">
        <v>96414.09</v>
      </c>
      <c r="M375" s="0" t="n">
        <v>93576.89</v>
      </c>
      <c r="N375" s="0" t="n">
        <v>2837.2</v>
      </c>
      <c r="O375" s="0" t="n">
        <v>44693.61</v>
      </c>
      <c r="P375" s="1" t="n">
        <v>20.41</v>
      </c>
      <c r="Q375" s="0" t="n">
        <v>0</v>
      </c>
      <c r="R375" s="0" t="n">
        <v>7</v>
      </c>
      <c r="S375" s="0" t="s">
        <v>32</v>
      </c>
      <c r="T375" s="0" t="str">
        <f aca="false">IF(L375="inf","False","True")</f>
        <v>True</v>
      </c>
      <c r="U375" s="0" t="str">
        <f aca="false">IF(V375="inf","False","True")</f>
        <v>False</v>
      </c>
      <c r="V375" s="4" t="s">
        <v>37</v>
      </c>
      <c r="W375" s="4" t="s">
        <v>37</v>
      </c>
      <c r="X375" s="0" t="n">
        <v>8.27</v>
      </c>
      <c r="Y375" s="5" t="e">
        <f aca="false">V375-L375</f>
        <v>#VALUE!</v>
      </c>
      <c r="Z375" s="6" t="e">
        <f aca="false">Y375/L375</f>
        <v>#VALUE!</v>
      </c>
      <c r="AA375" s="3" t="n">
        <f aca="false">X375-P375</f>
        <v>-12.14</v>
      </c>
      <c r="AB375" s="6" t="n">
        <f aca="false">AA375/P375</f>
        <v>-0.594806467417932</v>
      </c>
    </row>
    <row r="376" customFormat="false" ht="12.75" hidden="false" customHeight="false" outlineLevel="0" collapsed="false">
      <c r="A376" s="0" t="s">
        <v>439</v>
      </c>
      <c r="B376" s="0" t="n">
        <v>4</v>
      </c>
      <c r="C376" s="0" t="s">
        <v>31</v>
      </c>
      <c r="D376" s="0" t="s">
        <v>31</v>
      </c>
      <c r="E376" s="0" t="n">
        <v>777</v>
      </c>
      <c r="F376" s="0" t="n">
        <v>3091</v>
      </c>
      <c r="G376" s="0" t="n">
        <v>5</v>
      </c>
      <c r="H376" s="0" t="n">
        <v>9</v>
      </c>
      <c r="I376" s="0" t="n">
        <v>9</v>
      </c>
      <c r="J376" s="0" t="n">
        <v>4</v>
      </c>
      <c r="K376" s="0" t="n">
        <v>0.7</v>
      </c>
      <c r="L376" s="1" t="n">
        <v>117762.81</v>
      </c>
      <c r="M376" s="0" t="n">
        <v>114794.14</v>
      </c>
      <c r="N376" s="0" t="n">
        <v>2968.67</v>
      </c>
      <c r="O376" s="0" t="n">
        <v>42414.76</v>
      </c>
      <c r="P376" s="1" t="n">
        <v>25.93</v>
      </c>
      <c r="Q376" s="0" t="n">
        <v>0</v>
      </c>
      <c r="R376" s="0" t="n">
        <v>7</v>
      </c>
      <c r="S376" s="0" t="s">
        <v>32</v>
      </c>
      <c r="T376" s="0" t="str">
        <f aca="false">IF(L376="inf","False","True")</f>
        <v>True</v>
      </c>
      <c r="U376" s="0" t="str">
        <f aca="false">IF(V376="inf","False","True")</f>
        <v>False</v>
      </c>
      <c r="V376" s="4" t="s">
        <v>37</v>
      </c>
      <c r="W376" s="4" t="s">
        <v>37</v>
      </c>
      <c r="X376" s="0" t="n">
        <v>11.11</v>
      </c>
      <c r="Y376" s="5" t="e">
        <f aca="false">V376-L376</f>
        <v>#VALUE!</v>
      </c>
      <c r="Z376" s="6" t="e">
        <f aca="false">Y376/L376</f>
        <v>#VALUE!</v>
      </c>
      <c r="AA376" s="3" t="n">
        <f aca="false">X376-P376</f>
        <v>-14.82</v>
      </c>
      <c r="AB376" s="6" t="n">
        <f aca="false">AA376/P376</f>
        <v>-0.571538758195141</v>
      </c>
    </row>
    <row r="377" customFormat="false" ht="12.75" hidden="false" customHeight="false" outlineLevel="0" collapsed="false">
      <c r="A377" s="0" t="s">
        <v>440</v>
      </c>
      <c r="B377" s="0" t="n">
        <v>0</v>
      </c>
      <c r="C377" s="0" t="s">
        <v>31</v>
      </c>
      <c r="D377" s="0" t="s">
        <v>31</v>
      </c>
      <c r="E377" s="0" t="n">
        <v>1111</v>
      </c>
      <c r="F377" s="0" t="n">
        <v>4192</v>
      </c>
      <c r="G377" s="0" t="n">
        <v>5</v>
      </c>
      <c r="H377" s="0" t="n">
        <v>9</v>
      </c>
      <c r="I377" s="0" t="n">
        <v>9</v>
      </c>
      <c r="J377" s="0" t="n">
        <v>4</v>
      </c>
      <c r="K377" s="0" t="n">
        <v>0.7</v>
      </c>
      <c r="L377" s="1" t="n">
        <v>117072.41</v>
      </c>
      <c r="M377" s="0" t="n">
        <v>112911.55</v>
      </c>
      <c r="N377" s="0" t="n">
        <v>4160.86</v>
      </c>
      <c r="O377" s="0" t="n">
        <v>61343.88</v>
      </c>
      <c r="P377" s="1" t="n">
        <v>31.32</v>
      </c>
      <c r="Q377" s="0" t="n">
        <v>0</v>
      </c>
      <c r="R377" s="0" t="n">
        <v>12</v>
      </c>
      <c r="S377" s="0" t="s">
        <v>441</v>
      </c>
      <c r="T377" s="0" t="str">
        <f aca="false">IF(L377="inf","False","True")</f>
        <v>True</v>
      </c>
      <c r="U377" s="0" t="str">
        <f aca="false">IF(V377="inf","False","True")</f>
        <v>False</v>
      </c>
      <c r="V377" s="4" t="s">
        <v>37</v>
      </c>
      <c r="W377" s="4" t="s">
        <v>37</v>
      </c>
      <c r="X377" s="0" t="n">
        <v>8.98</v>
      </c>
      <c r="Y377" s="5" t="e">
        <f aca="false">V377-L377</f>
        <v>#VALUE!</v>
      </c>
      <c r="Z377" s="6" t="e">
        <f aca="false">Y377/L377</f>
        <v>#VALUE!</v>
      </c>
      <c r="AA377" s="3" t="n">
        <f aca="false">X377-P377</f>
        <v>-22.34</v>
      </c>
      <c r="AB377" s="6" t="n">
        <f aca="false">AA377/P377</f>
        <v>-0.713282247765006</v>
      </c>
    </row>
    <row r="378" customFormat="false" ht="12.75" hidden="false" customHeight="false" outlineLevel="0" collapsed="false">
      <c r="A378" s="0" t="s">
        <v>442</v>
      </c>
      <c r="B378" s="0" t="n">
        <v>1</v>
      </c>
      <c r="C378" s="0" t="s">
        <v>31</v>
      </c>
      <c r="D378" s="0" t="s">
        <v>31</v>
      </c>
      <c r="E378" s="0" t="n">
        <v>1111</v>
      </c>
      <c r="F378" s="0" t="n">
        <v>4560</v>
      </c>
      <c r="G378" s="0" t="n">
        <v>5</v>
      </c>
      <c r="H378" s="0" t="n">
        <v>9</v>
      </c>
      <c r="I378" s="0" t="n">
        <v>9</v>
      </c>
      <c r="J378" s="0" t="n">
        <v>4</v>
      </c>
      <c r="K378" s="0" t="n">
        <v>0.7</v>
      </c>
      <c r="L378" s="1" t="n">
        <v>200379.99</v>
      </c>
      <c r="M378" s="0" t="n">
        <v>196037.55</v>
      </c>
      <c r="N378" s="0" t="n">
        <v>4342.44</v>
      </c>
      <c r="O378" s="0" t="n">
        <v>67722.13</v>
      </c>
      <c r="P378" s="1" t="n">
        <v>28.94</v>
      </c>
      <c r="Q378" s="0" t="n">
        <v>0</v>
      </c>
      <c r="R378" s="0" t="n">
        <v>14</v>
      </c>
      <c r="S378" s="0" t="s">
        <v>32</v>
      </c>
      <c r="T378" s="0" t="str">
        <f aca="false">IF(L378="inf","False","True")</f>
        <v>True</v>
      </c>
      <c r="U378" s="0" t="str">
        <f aca="false">IF(V378="inf","False","True")</f>
        <v>True</v>
      </c>
      <c r="V378" s="4" t="n">
        <v>174555.42</v>
      </c>
      <c r="W378" s="4" t="n">
        <v>65546.01</v>
      </c>
      <c r="X378" s="0" t="n">
        <v>3.51</v>
      </c>
      <c r="Y378" s="5" t="n">
        <f aca="false">V378-L378</f>
        <v>-25824.57</v>
      </c>
      <c r="Z378" s="6" t="n">
        <f aca="false">Y378/L378</f>
        <v>-0.128877988266194</v>
      </c>
      <c r="AA378" s="3" t="n">
        <f aca="false">X378-P378</f>
        <v>-25.43</v>
      </c>
      <c r="AB378" s="6" t="n">
        <f aca="false">AA378/P378</f>
        <v>-0.878714581893573</v>
      </c>
    </row>
    <row r="379" customFormat="false" ht="12.75" hidden="false" customHeight="false" outlineLevel="0" collapsed="false">
      <c r="A379" s="0" t="s">
        <v>443</v>
      </c>
      <c r="B379" s="0" t="n">
        <v>2</v>
      </c>
      <c r="C379" s="0" t="s">
        <v>31</v>
      </c>
      <c r="D379" s="0" t="s">
        <v>31</v>
      </c>
      <c r="E379" s="0" t="n">
        <v>1111</v>
      </c>
      <c r="F379" s="0" t="n">
        <v>4366</v>
      </c>
      <c r="G379" s="0" t="n">
        <v>5</v>
      </c>
      <c r="H379" s="0" t="n">
        <v>9</v>
      </c>
      <c r="I379" s="0" t="n">
        <v>9</v>
      </c>
      <c r="J379" s="0" t="n">
        <v>4</v>
      </c>
      <c r="K379" s="0" t="n">
        <v>0.7</v>
      </c>
      <c r="L379" s="1" t="n">
        <v>267233.86</v>
      </c>
      <c r="M379" s="0" t="n">
        <v>262965.02</v>
      </c>
      <c r="N379" s="0" t="n">
        <v>4268.84</v>
      </c>
      <c r="O379" s="0" t="n">
        <v>62749.58</v>
      </c>
      <c r="P379" s="1" t="n">
        <v>21.95</v>
      </c>
      <c r="Q379" s="0" t="n">
        <v>0</v>
      </c>
      <c r="R379" s="0" t="n">
        <v>6</v>
      </c>
      <c r="S379" s="0" t="s">
        <v>32</v>
      </c>
      <c r="T379" s="0" t="str">
        <f aca="false">IF(L379="inf","False","True")</f>
        <v>True</v>
      </c>
      <c r="U379" s="0" t="str">
        <f aca="false">IF(V379="inf","False","True")</f>
        <v>False</v>
      </c>
      <c r="V379" s="4" t="s">
        <v>37</v>
      </c>
      <c r="W379" s="4" t="s">
        <v>37</v>
      </c>
      <c r="X379" s="0" t="n">
        <v>9.19</v>
      </c>
      <c r="Y379" s="5" t="e">
        <f aca="false">V379-L379</f>
        <v>#VALUE!</v>
      </c>
      <c r="Z379" s="6" t="e">
        <f aca="false">Y379/L379</f>
        <v>#VALUE!</v>
      </c>
      <c r="AA379" s="3" t="n">
        <f aca="false">X379-P379</f>
        <v>-12.76</v>
      </c>
      <c r="AB379" s="6" t="n">
        <f aca="false">AA379/P379</f>
        <v>-0.581321184510251</v>
      </c>
    </row>
    <row r="380" customFormat="false" ht="12.75" hidden="false" customHeight="false" outlineLevel="0" collapsed="false">
      <c r="A380" s="0" t="s">
        <v>444</v>
      </c>
      <c r="B380" s="0" t="n">
        <v>3</v>
      </c>
      <c r="C380" s="0" t="s">
        <v>31</v>
      </c>
      <c r="D380" s="0" t="s">
        <v>31</v>
      </c>
      <c r="E380" s="0" t="n">
        <v>1111</v>
      </c>
      <c r="F380" s="0" t="n">
        <v>4073</v>
      </c>
      <c r="G380" s="0" t="n">
        <v>5</v>
      </c>
      <c r="H380" s="0" t="n">
        <v>9</v>
      </c>
      <c r="I380" s="0" t="n">
        <v>9</v>
      </c>
      <c r="J380" s="0" t="n">
        <v>4</v>
      </c>
      <c r="K380" s="0" t="n">
        <v>0.7</v>
      </c>
      <c r="L380" s="1" t="n">
        <v>141171.73</v>
      </c>
      <c r="M380" s="0" t="n">
        <v>137154.95</v>
      </c>
      <c r="N380" s="0" t="n">
        <v>4016.78</v>
      </c>
      <c r="O380" s="0" t="n">
        <v>65097.51</v>
      </c>
      <c r="P380" s="1" t="n">
        <v>22.64</v>
      </c>
      <c r="Q380" s="0" t="n">
        <v>0</v>
      </c>
      <c r="R380" s="0" t="n">
        <v>7</v>
      </c>
      <c r="S380" s="0" t="s">
        <v>32</v>
      </c>
      <c r="T380" s="0" t="str">
        <f aca="false">IF(L380="inf","False","True")</f>
        <v>True</v>
      </c>
      <c r="U380" s="0" t="str">
        <f aca="false">IF(V380="inf","False","True")</f>
        <v>False</v>
      </c>
      <c r="V380" s="4" t="s">
        <v>37</v>
      </c>
      <c r="W380" s="4" t="s">
        <v>37</v>
      </c>
      <c r="X380" s="0" t="n">
        <v>8.5</v>
      </c>
      <c r="Y380" s="5" t="e">
        <f aca="false">V380-L380</f>
        <v>#VALUE!</v>
      </c>
      <c r="Z380" s="6" t="e">
        <f aca="false">Y380/L380</f>
        <v>#VALUE!</v>
      </c>
      <c r="AA380" s="3" t="n">
        <f aca="false">X380-P380</f>
        <v>-14.14</v>
      </c>
      <c r="AB380" s="6" t="n">
        <f aca="false">AA380/P380</f>
        <v>-0.624558303886926</v>
      </c>
    </row>
    <row r="381" customFormat="false" ht="12.75" hidden="false" customHeight="false" outlineLevel="0" collapsed="false">
      <c r="A381" s="0" t="s">
        <v>445</v>
      </c>
      <c r="B381" s="0" t="n">
        <v>4</v>
      </c>
      <c r="C381" s="0" t="s">
        <v>31</v>
      </c>
      <c r="D381" s="0" t="s">
        <v>31</v>
      </c>
      <c r="E381" s="0" t="n">
        <v>1111</v>
      </c>
      <c r="F381" s="0" t="n">
        <v>4422</v>
      </c>
      <c r="G381" s="0" t="n">
        <v>5</v>
      </c>
      <c r="H381" s="0" t="n">
        <v>9</v>
      </c>
      <c r="I381" s="0" t="n">
        <v>9</v>
      </c>
      <c r="J381" s="0" t="n">
        <v>4</v>
      </c>
      <c r="K381" s="0" t="n">
        <v>0.7</v>
      </c>
      <c r="L381" s="1" t="n">
        <v>189157.47</v>
      </c>
      <c r="M381" s="0" t="n">
        <v>184860.02</v>
      </c>
      <c r="N381" s="0" t="n">
        <v>4297.45</v>
      </c>
      <c r="O381" s="0" t="n">
        <v>60784.25</v>
      </c>
      <c r="P381" s="1" t="n">
        <v>24.11</v>
      </c>
      <c r="Q381" s="0" t="n">
        <v>0</v>
      </c>
      <c r="R381" s="0" t="n">
        <v>2</v>
      </c>
      <c r="S381" s="0" t="s">
        <v>32</v>
      </c>
      <c r="T381" s="0" t="str">
        <f aca="false">IF(L381="inf","False","True")</f>
        <v>True</v>
      </c>
      <c r="U381" s="0" t="str">
        <f aca="false">IF(V381="inf","False","True")</f>
        <v>False</v>
      </c>
      <c r="V381" s="4" t="s">
        <v>37</v>
      </c>
      <c r="W381" s="4" t="s">
        <v>37</v>
      </c>
      <c r="X381" s="0" t="n">
        <v>9.33</v>
      </c>
      <c r="Y381" s="5" t="e">
        <f aca="false">V381-L381</f>
        <v>#VALUE!</v>
      </c>
      <c r="Z381" s="6" t="e">
        <f aca="false">Y381/L381</f>
        <v>#VALUE!</v>
      </c>
      <c r="AA381" s="3" t="n">
        <f aca="false">X381-P381</f>
        <v>-14.78</v>
      </c>
      <c r="AB381" s="6" t="n">
        <f aca="false">AA381/P381</f>
        <v>-0.613023641642472</v>
      </c>
    </row>
    <row r="382" customFormat="false" ht="12.75" hidden="false" customHeight="false" outlineLevel="0" collapsed="false">
      <c r="A382" s="0" t="s">
        <v>446</v>
      </c>
      <c r="B382" s="0" t="n">
        <v>0</v>
      </c>
      <c r="C382" s="0" t="s">
        <v>31</v>
      </c>
      <c r="D382" s="0" t="s">
        <v>31</v>
      </c>
      <c r="E382" s="0" t="n">
        <v>333</v>
      </c>
      <c r="F382" s="0" t="n">
        <v>1493</v>
      </c>
      <c r="G382" s="0" t="n">
        <v>5</v>
      </c>
      <c r="H382" s="0" t="n">
        <v>9</v>
      </c>
      <c r="I382" s="0" t="n">
        <v>9</v>
      </c>
      <c r="J382" s="0" t="n">
        <v>8</v>
      </c>
      <c r="K382" s="0" t="n">
        <v>0.7</v>
      </c>
      <c r="L382" s="1" t="n">
        <v>1493</v>
      </c>
      <c r="M382" s="0" t="n">
        <v>0</v>
      </c>
      <c r="N382" s="0" t="n">
        <v>1493</v>
      </c>
      <c r="O382" s="0" t="n">
        <v>18748</v>
      </c>
      <c r="P382" s="1" t="n">
        <v>9.54</v>
      </c>
      <c r="Q382" s="0" t="n">
        <v>0</v>
      </c>
      <c r="R382" s="0" t="n">
        <v>1</v>
      </c>
      <c r="S382" s="0" t="s">
        <v>42</v>
      </c>
      <c r="T382" s="0" t="str">
        <f aca="false">IF(L382="inf","False","True")</f>
        <v>True</v>
      </c>
      <c r="U382" s="0" t="str">
        <f aca="false">IF(V382="inf","False","True")</f>
        <v>True</v>
      </c>
      <c r="V382" s="4" t="n">
        <v>26051.91</v>
      </c>
      <c r="W382" s="4" t="n">
        <v>17597.09</v>
      </c>
      <c r="X382" s="0" t="n">
        <v>31.49</v>
      </c>
      <c r="Y382" s="5" t="n">
        <f aca="false">V382-L382</f>
        <v>24558.91</v>
      </c>
      <c r="Z382" s="6" t="n">
        <f aca="false">Y382/L382</f>
        <v>16.4493703951775</v>
      </c>
      <c r="AA382" s="3" t="n">
        <f aca="false">X382-P382</f>
        <v>21.95</v>
      </c>
      <c r="AB382" s="6" t="n">
        <f aca="false">AA382/P382</f>
        <v>2.30083857442348</v>
      </c>
    </row>
    <row r="383" customFormat="false" ht="12.75" hidden="false" customHeight="false" outlineLevel="0" collapsed="false">
      <c r="A383" s="0" t="s">
        <v>447</v>
      </c>
      <c r="B383" s="0" t="n">
        <v>1</v>
      </c>
      <c r="C383" s="0" t="s">
        <v>31</v>
      </c>
      <c r="D383" s="0" t="s">
        <v>31</v>
      </c>
      <c r="E383" s="0" t="n">
        <v>333</v>
      </c>
      <c r="F383" s="0" t="n">
        <v>1533</v>
      </c>
      <c r="G383" s="0" t="n">
        <v>5</v>
      </c>
      <c r="H383" s="0" t="n">
        <v>9</v>
      </c>
      <c r="I383" s="0" t="n">
        <v>9</v>
      </c>
      <c r="J383" s="0" t="n">
        <v>8</v>
      </c>
      <c r="K383" s="0" t="n">
        <v>0.7</v>
      </c>
      <c r="L383" s="1" t="n">
        <v>1533</v>
      </c>
      <c r="M383" s="0" t="n">
        <v>0</v>
      </c>
      <c r="N383" s="0" t="n">
        <v>1533</v>
      </c>
      <c r="O383" s="0" t="n">
        <v>18039</v>
      </c>
      <c r="P383" s="1" t="n">
        <v>18.73</v>
      </c>
      <c r="Q383" s="0" t="n">
        <v>0</v>
      </c>
      <c r="R383" s="0" t="n">
        <v>2</v>
      </c>
      <c r="S383" s="0" t="s">
        <v>42</v>
      </c>
      <c r="T383" s="0" t="str">
        <f aca="false">IF(L383="inf","False","True")</f>
        <v>True</v>
      </c>
      <c r="U383" s="0" t="str">
        <f aca="false">IF(V383="inf","False","True")</f>
        <v>True</v>
      </c>
      <c r="V383" s="4" t="n">
        <v>32951.16</v>
      </c>
      <c r="W383" s="4" t="n">
        <v>15702.1</v>
      </c>
      <c r="X383" s="0" t="n">
        <v>114.2</v>
      </c>
      <c r="Y383" s="5" t="n">
        <f aca="false">V383-L383</f>
        <v>31418.16</v>
      </c>
      <c r="Z383" s="6" t="n">
        <f aca="false">Y383/L383</f>
        <v>20.4945596868885</v>
      </c>
      <c r="AA383" s="3" t="n">
        <f aca="false">X383-P383</f>
        <v>95.47</v>
      </c>
      <c r="AB383" s="6" t="n">
        <f aca="false">AA383/P383</f>
        <v>5.09717031500267</v>
      </c>
    </row>
    <row r="384" customFormat="false" ht="12.75" hidden="false" customHeight="false" outlineLevel="0" collapsed="false">
      <c r="A384" s="0" t="s">
        <v>448</v>
      </c>
      <c r="B384" s="0" t="n">
        <v>2</v>
      </c>
      <c r="C384" s="0" t="s">
        <v>31</v>
      </c>
      <c r="D384" s="0" t="s">
        <v>31</v>
      </c>
      <c r="E384" s="0" t="n">
        <v>333</v>
      </c>
      <c r="F384" s="0" t="n">
        <v>1462</v>
      </c>
      <c r="G384" s="0" t="n">
        <v>5</v>
      </c>
      <c r="H384" s="0" t="n">
        <v>9</v>
      </c>
      <c r="I384" s="0" t="n">
        <v>9</v>
      </c>
      <c r="J384" s="0" t="n">
        <v>8</v>
      </c>
      <c r="K384" s="0" t="n">
        <v>0.7</v>
      </c>
      <c r="L384" s="1" t="n">
        <v>1462</v>
      </c>
      <c r="M384" s="0" t="n">
        <v>0</v>
      </c>
      <c r="N384" s="0" t="n">
        <v>1462</v>
      </c>
      <c r="O384" s="0" t="n">
        <v>19835</v>
      </c>
      <c r="P384" s="1" t="n">
        <v>6.2</v>
      </c>
      <c r="Q384" s="0" t="n">
        <v>0</v>
      </c>
      <c r="R384" s="0" t="n">
        <v>1</v>
      </c>
      <c r="S384" s="0" t="s">
        <v>42</v>
      </c>
      <c r="T384" s="0" t="str">
        <f aca="false">IF(L384="inf","False","True")</f>
        <v>True</v>
      </c>
      <c r="U384" s="0" t="str">
        <f aca="false">IF(V384="inf","False","True")</f>
        <v>True</v>
      </c>
      <c r="V384" s="4" t="n">
        <v>53379.27</v>
      </c>
      <c r="W384" s="4" t="n">
        <v>18116.22</v>
      </c>
      <c r="X384" s="0" t="n">
        <v>12.65</v>
      </c>
      <c r="Y384" s="5" t="n">
        <f aca="false">V384-L384</f>
        <v>51917.27</v>
      </c>
      <c r="Z384" s="6" t="n">
        <f aca="false">Y384/L384</f>
        <v>35.5111285909713</v>
      </c>
      <c r="AA384" s="3" t="n">
        <f aca="false">X384-P384</f>
        <v>6.45</v>
      </c>
      <c r="AB384" s="6" t="n">
        <f aca="false">AA384/P384</f>
        <v>1.04032258064516</v>
      </c>
    </row>
    <row r="385" customFormat="false" ht="12.75" hidden="false" customHeight="false" outlineLevel="0" collapsed="false">
      <c r="A385" s="0" t="s">
        <v>449</v>
      </c>
      <c r="B385" s="0" t="n">
        <v>3</v>
      </c>
      <c r="C385" s="0" t="s">
        <v>31</v>
      </c>
      <c r="D385" s="0" t="s">
        <v>31</v>
      </c>
      <c r="E385" s="0" t="n">
        <v>333</v>
      </c>
      <c r="F385" s="0" t="n">
        <v>1478</v>
      </c>
      <c r="G385" s="0" t="n">
        <v>5</v>
      </c>
      <c r="H385" s="0" t="n">
        <v>9</v>
      </c>
      <c r="I385" s="0" t="n">
        <v>9</v>
      </c>
      <c r="J385" s="0" t="n">
        <v>8</v>
      </c>
      <c r="K385" s="0" t="n">
        <v>0.7</v>
      </c>
      <c r="L385" s="1" t="n">
        <v>53731.82</v>
      </c>
      <c r="M385" s="0" t="n">
        <v>52408.17</v>
      </c>
      <c r="N385" s="0" t="n">
        <v>1323.65</v>
      </c>
      <c r="O385" s="0" t="n">
        <v>17589.85</v>
      </c>
      <c r="P385" s="1" t="n">
        <v>68.19</v>
      </c>
      <c r="Q385" s="0" t="n">
        <v>0</v>
      </c>
      <c r="R385" s="0" t="n">
        <v>4</v>
      </c>
      <c r="S385" s="0" t="s">
        <v>32</v>
      </c>
      <c r="T385" s="0" t="str">
        <f aca="false">IF(L385="inf","False","True")</f>
        <v>True</v>
      </c>
      <c r="U385" s="0" t="str">
        <f aca="false">IF(V385="inf","False","True")</f>
        <v>False</v>
      </c>
      <c r="V385" s="4" t="s">
        <v>37</v>
      </c>
      <c r="W385" s="4" t="s">
        <v>37</v>
      </c>
      <c r="X385" s="0" t="n">
        <v>18.17</v>
      </c>
      <c r="Y385" s="5" t="e">
        <f aca="false">V385-L385</f>
        <v>#VALUE!</v>
      </c>
      <c r="Z385" s="6" t="e">
        <f aca="false">Y385/L385</f>
        <v>#VALUE!</v>
      </c>
      <c r="AA385" s="3" t="n">
        <f aca="false">X385-P385</f>
        <v>-50.02</v>
      </c>
      <c r="AB385" s="6" t="n">
        <f aca="false">AA385/P385</f>
        <v>-0.733538642029623</v>
      </c>
    </row>
    <row r="386" customFormat="false" ht="12.75" hidden="false" customHeight="false" outlineLevel="0" collapsed="false">
      <c r="A386" s="0" t="s">
        <v>450</v>
      </c>
      <c r="B386" s="0" t="n">
        <v>4</v>
      </c>
      <c r="C386" s="0" t="s">
        <v>31</v>
      </c>
      <c r="D386" s="0" t="s">
        <v>31</v>
      </c>
      <c r="E386" s="0" t="n">
        <v>333</v>
      </c>
      <c r="F386" s="0" t="n">
        <v>1509</v>
      </c>
      <c r="G386" s="0" t="n">
        <v>5</v>
      </c>
      <c r="H386" s="0" t="n">
        <v>9</v>
      </c>
      <c r="I386" s="0" t="n">
        <v>9</v>
      </c>
      <c r="J386" s="0" t="n">
        <v>8</v>
      </c>
      <c r="K386" s="0" t="n">
        <v>0.7</v>
      </c>
      <c r="L386" s="1" t="n">
        <v>1501.19</v>
      </c>
      <c r="M386" s="0" t="n">
        <v>0</v>
      </c>
      <c r="N386" s="0" t="n">
        <v>1501.19</v>
      </c>
      <c r="O386" s="0" t="n">
        <v>17699</v>
      </c>
      <c r="P386" s="1" t="n">
        <v>10.23</v>
      </c>
      <c r="Q386" s="0" t="n">
        <v>0</v>
      </c>
      <c r="R386" s="0" t="n">
        <v>6</v>
      </c>
      <c r="S386" s="0" t="s">
        <v>89</v>
      </c>
      <c r="T386" s="0" t="str">
        <f aca="false">IF(L386="inf","False","True")</f>
        <v>True</v>
      </c>
      <c r="U386" s="0" t="str">
        <f aca="false">IF(V386="inf","False","True")</f>
        <v>False</v>
      </c>
      <c r="V386" s="4" t="s">
        <v>37</v>
      </c>
      <c r="W386" s="4" t="s">
        <v>37</v>
      </c>
      <c r="X386" s="0" t="n">
        <v>14.88</v>
      </c>
      <c r="Y386" s="5" t="e">
        <f aca="false">V386-L386</f>
        <v>#VALUE!</v>
      </c>
      <c r="Z386" s="6" t="e">
        <f aca="false">Y386/L386</f>
        <v>#VALUE!</v>
      </c>
      <c r="AA386" s="3" t="n">
        <f aca="false">X386-P386</f>
        <v>4.65</v>
      </c>
      <c r="AB386" s="6" t="n">
        <f aca="false">AA386/P386</f>
        <v>0.454545454545455</v>
      </c>
    </row>
    <row r="387" customFormat="false" ht="12.75" hidden="false" customHeight="false" outlineLevel="0" collapsed="false">
      <c r="A387" s="0" t="s">
        <v>451</v>
      </c>
      <c r="B387" s="0" t="n">
        <v>0</v>
      </c>
      <c r="C387" s="0" t="s">
        <v>31</v>
      </c>
      <c r="D387" s="0" t="s">
        <v>31</v>
      </c>
      <c r="E387" s="0" t="n">
        <v>555</v>
      </c>
      <c r="F387" s="0" t="n">
        <v>2491</v>
      </c>
      <c r="G387" s="0" t="n">
        <v>5</v>
      </c>
      <c r="H387" s="0" t="n">
        <v>9</v>
      </c>
      <c r="I387" s="0" t="n">
        <v>9</v>
      </c>
      <c r="J387" s="0" t="n">
        <v>8</v>
      </c>
      <c r="K387" s="0" t="n">
        <v>0.7</v>
      </c>
      <c r="L387" s="1" t="n">
        <v>2491</v>
      </c>
      <c r="M387" s="0" t="n">
        <v>0</v>
      </c>
      <c r="N387" s="0" t="n">
        <v>2491</v>
      </c>
      <c r="O387" s="0" t="n">
        <v>31274</v>
      </c>
      <c r="P387" s="1" t="n">
        <v>11.1</v>
      </c>
      <c r="Q387" s="0" t="n">
        <v>0</v>
      </c>
      <c r="R387" s="0" t="n">
        <v>1</v>
      </c>
      <c r="S387" s="0" t="s">
        <v>42</v>
      </c>
      <c r="T387" s="0" t="str">
        <f aca="false">IF(L387="inf","False","True")</f>
        <v>True</v>
      </c>
      <c r="U387" s="0" t="str">
        <f aca="false">IF(V387="inf","False","True")</f>
        <v>True</v>
      </c>
      <c r="V387" s="4" t="n">
        <v>37701.63</v>
      </c>
      <c r="W387" s="4" t="n">
        <v>30739.83</v>
      </c>
      <c r="X387" s="0" t="n">
        <v>90.74</v>
      </c>
      <c r="Y387" s="5" t="n">
        <f aca="false">V387-L387</f>
        <v>35210.63</v>
      </c>
      <c r="Z387" s="6" t="n">
        <f aca="false">Y387/L387</f>
        <v>14.1351384985949</v>
      </c>
      <c r="AA387" s="3" t="n">
        <f aca="false">X387-P387</f>
        <v>79.64</v>
      </c>
      <c r="AB387" s="6" t="n">
        <f aca="false">AA387/P387</f>
        <v>7.17477477477478</v>
      </c>
    </row>
    <row r="388" customFormat="false" ht="12.75" hidden="false" customHeight="false" outlineLevel="0" collapsed="false">
      <c r="A388" s="0" t="s">
        <v>452</v>
      </c>
      <c r="B388" s="0" t="n">
        <v>1</v>
      </c>
      <c r="C388" s="0" t="s">
        <v>31</v>
      </c>
      <c r="D388" s="0" t="s">
        <v>31</v>
      </c>
      <c r="E388" s="0" t="n">
        <v>555</v>
      </c>
      <c r="F388" s="0" t="n">
        <v>2558</v>
      </c>
      <c r="G388" s="0" t="n">
        <v>5</v>
      </c>
      <c r="H388" s="0" t="n">
        <v>9</v>
      </c>
      <c r="I388" s="0" t="n">
        <v>9</v>
      </c>
      <c r="J388" s="0" t="n">
        <v>8</v>
      </c>
      <c r="K388" s="0" t="n">
        <v>0.7</v>
      </c>
      <c r="L388" s="1" t="n">
        <v>2558</v>
      </c>
      <c r="M388" s="0" t="n">
        <v>0</v>
      </c>
      <c r="N388" s="0" t="n">
        <v>2558</v>
      </c>
      <c r="O388" s="0" t="n">
        <v>29621</v>
      </c>
      <c r="P388" s="1" t="n">
        <v>15.52</v>
      </c>
      <c r="Q388" s="0" t="n">
        <v>0</v>
      </c>
      <c r="R388" s="0" t="n">
        <v>5</v>
      </c>
      <c r="S388" s="0" t="s">
        <v>42</v>
      </c>
      <c r="T388" s="0" t="str">
        <f aca="false">IF(L388="inf","False","True")</f>
        <v>True</v>
      </c>
      <c r="U388" s="0" t="str">
        <f aca="false">IF(V388="inf","False","True")</f>
        <v>True</v>
      </c>
      <c r="V388" s="4" t="n">
        <v>48980.42</v>
      </c>
      <c r="W388" s="4" t="n">
        <v>26543.62</v>
      </c>
      <c r="X388" s="0" t="n">
        <v>54.46</v>
      </c>
      <c r="Y388" s="5" t="n">
        <f aca="false">V388-L388</f>
        <v>46422.42</v>
      </c>
      <c r="Z388" s="6" t="n">
        <f aca="false">Y388/L388</f>
        <v>18.147935887412</v>
      </c>
      <c r="AA388" s="3" t="n">
        <f aca="false">X388-P388</f>
        <v>38.94</v>
      </c>
      <c r="AB388" s="6" t="n">
        <f aca="false">AA388/P388</f>
        <v>2.5090206185567</v>
      </c>
    </row>
    <row r="389" customFormat="false" ht="12.75" hidden="false" customHeight="false" outlineLevel="0" collapsed="false">
      <c r="A389" s="0" t="s">
        <v>453</v>
      </c>
      <c r="B389" s="0" t="n">
        <v>2</v>
      </c>
      <c r="C389" s="0" t="s">
        <v>31</v>
      </c>
      <c r="D389" s="0" t="s">
        <v>31</v>
      </c>
      <c r="E389" s="0" t="n">
        <v>555</v>
      </c>
      <c r="F389" s="0" t="n">
        <v>2441</v>
      </c>
      <c r="G389" s="0" t="n">
        <v>5</v>
      </c>
      <c r="H389" s="0" t="n">
        <v>9</v>
      </c>
      <c r="I389" s="0" t="n">
        <v>9</v>
      </c>
      <c r="J389" s="0" t="n">
        <v>8</v>
      </c>
      <c r="K389" s="0" t="n">
        <v>0.7</v>
      </c>
      <c r="L389" s="1" t="n">
        <v>2441</v>
      </c>
      <c r="M389" s="0" t="n">
        <v>0</v>
      </c>
      <c r="N389" s="0" t="n">
        <v>2441</v>
      </c>
      <c r="O389" s="0" t="n">
        <v>34426</v>
      </c>
      <c r="P389" s="1" t="n">
        <v>10.97</v>
      </c>
      <c r="Q389" s="0" t="n">
        <v>0</v>
      </c>
      <c r="R389" s="0" t="n">
        <v>8</v>
      </c>
      <c r="S389" s="0" t="s">
        <v>42</v>
      </c>
      <c r="T389" s="0" t="str">
        <f aca="false">IF(L389="inf","False","True")</f>
        <v>True</v>
      </c>
      <c r="U389" s="0" t="str">
        <f aca="false">IF(V389="inf","False","True")</f>
        <v>True</v>
      </c>
      <c r="V389" s="4" t="n">
        <v>61768.03</v>
      </c>
      <c r="W389" s="4" t="n">
        <v>30125.07</v>
      </c>
      <c r="X389" s="0" t="n">
        <v>5.11</v>
      </c>
      <c r="Y389" s="5" t="n">
        <f aca="false">V389-L389</f>
        <v>59327.03</v>
      </c>
      <c r="Z389" s="6" t="n">
        <f aca="false">Y389/L389</f>
        <v>24.304395739451</v>
      </c>
      <c r="AA389" s="3" t="n">
        <f aca="false">X389-P389</f>
        <v>-5.86</v>
      </c>
      <c r="AB389" s="6" t="n">
        <f aca="false">AA389/P389</f>
        <v>-0.534184138559708</v>
      </c>
    </row>
    <row r="390" customFormat="false" ht="12.75" hidden="false" customHeight="false" outlineLevel="0" collapsed="false">
      <c r="A390" s="0" t="s">
        <v>454</v>
      </c>
      <c r="B390" s="0" t="n">
        <v>3</v>
      </c>
      <c r="C390" s="0" t="s">
        <v>31</v>
      </c>
      <c r="D390" s="0" t="s">
        <v>31</v>
      </c>
      <c r="E390" s="0" t="n">
        <v>555</v>
      </c>
      <c r="F390" s="0" t="n">
        <v>2466</v>
      </c>
      <c r="G390" s="0" t="n">
        <v>5</v>
      </c>
      <c r="H390" s="0" t="n">
        <v>9</v>
      </c>
      <c r="I390" s="0" t="n">
        <v>9</v>
      </c>
      <c r="J390" s="0" t="n">
        <v>8</v>
      </c>
      <c r="K390" s="0" t="n">
        <v>0.7</v>
      </c>
      <c r="L390" s="1" t="n">
        <v>88214.8</v>
      </c>
      <c r="M390" s="0" t="n">
        <v>85900.8</v>
      </c>
      <c r="N390" s="0" t="n">
        <v>2314</v>
      </c>
      <c r="O390" s="0" t="n">
        <v>28468.67</v>
      </c>
      <c r="P390" s="1" t="n">
        <v>431.75</v>
      </c>
      <c r="Q390" s="0" t="n">
        <v>0</v>
      </c>
      <c r="R390" s="0" t="n">
        <v>3</v>
      </c>
      <c r="S390" s="0" t="s">
        <v>455</v>
      </c>
      <c r="T390" s="0" t="str">
        <f aca="false">IF(L390="inf","False","True")</f>
        <v>True</v>
      </c>
      <c r="U390" s="0" t="str">
        <f aca="false">IF(V390="inf","False","True")</f>
        <v>True</v>
      </c>
      <c r="V390" s="4" t="n">
        <v>126537.49</v>
      </c>
      <c r="W390" s="4" t="n">
        <v>29834.26</v>
      </c>
      <c r="X390" s="0" t="n">
        <v>5.26</v>
      </c>
      <c r="Y390" s="5" t="n">
        <f aca="false">V390-L390</f>
        <v>38322.69</v>
      </c>
      <c r="Z390" s="6" t="n">
        <f aca="false">Y390/L390</f>
        <v>0.434424722382185</v>
      </c>
      <c r="AA390" s="3" t="n">
        <f aca="false">X390-P390</f>
        <v>-426.49</v>
      </c>
      <c r="AB390" s="6" t="n">
        <f aca="false">AA390/P390</f>
        <v>-0.987817023740591</v>
      </c>
    </row>
    <row r="391" customFormat="false" ht="12.75" hidden="false" customHeight="false" outlineLevel="0" collapsed="false">
      <c r="A391" s="0" t="s">
        <v>456</v>
      </c>
      <c r="B391" s="0" t="n">
        <v>4</v>
      </c>
      <c r="C391" s="0" t="s">
        <v>31</v>
      </c>
      <c r="D391" s="0" t="s">
        <v>31</v>
      </c>
      <c r="E391" s="0" t="n">
        <v>555</v>
      </c>
      <c r="F391" s="0" t="n">
        <v>2517</v>
      </c>
      <c r="G391" s="0" t="n">
        <v>5</v>
      </c>
      <c r="H391" s="0" t="n">
        <v>9</v>
      </c>
      <c r="I391" s="0" t="n">
        <v>9</v>
      </c>
      <c r="J391" s="0" t="n">
        <v>8</v>
      </c>
      <c r="K391" s="0" t="n">
        <v>0.7</v>
      </c>
      <c r="L391" s="1" t="n">
        <v>2503.48</v>
      </c>
      <c r="M391" s="0" t="n">
        <v>0</v>
      </c>
      <c r="N391" s="0" t="n">
        <v>2503.48</v>
      </c>
      <c r="O391" s="0" t="n">
        <v>29466</v>
      </c>
      <c r="P391" s="1" t="n">
        <v>8.82</v>
      </c>
      <c r="Q391" s="0" t="n">
        <v>0</v>
      </c>
      <c r="R391" s="0" t="n">
        <v>6</v>
      </c>
      <c r="S391" s="0" t="s">
        <v>457</v>
      </c>
      <c r="T391" s="0" t="str">
        <f aca="false">IF(L391="inf","False","True")</f>
        <v>True</v>
      </c>
      <c r="U391" s="0" t="str">
        <f aca="false">IF(V391="inf","False","True")</f>
        <v>True</v>
      </c>
      <c r="V391" s="4" t="n">
        <v>73876.58</v>
      </c>
      <c r="W391" s="4" t="n">
        <v>28061.52</v>
      </c>
      <c r="X391" s="0" t="n">
        <v>9.91</v>
      </c>
      <c r="Y391" s="5" t="n">
        <f aca="false">V391-L391</f>
        <v>71373.1</v>
      </c>
      <c r="Z391" s="6" t="n">
        <f aca="false">Y391/L391</f>
        <v>28.5095546998578</v>
      </c>
      <c r="AA391" s="3" t="n">
        <f aca="false">X391-P391</f>
        <v>1.09</v>
      </c>
      <c r="AB391" s="6" t="n">
        <f aca="false">AA391/P391</f>
        <v>0.123582766439909</v>
      </c>
    </row>
    <row r="392" customFormat="false" ht="12.75" hidden="false" customHeight="false" outlineLevel="0" collapsed="false">
      <c r="A392" s="0" t="s">
        <v>458</v>
      </c>
      <c r="B392" s="0" t="n">
        <v>0</v>
      </c>
      <c r="C392" s="0" t="s">
        <v>31</v>
      </c>
      <c r="D392" s="0" t="s">
        <v>31</v>
      </c>
      <c r="E392" s="0" t="n">
        <v>777</v>
      </c>
      <c r="F392" s="0" t="n">
        <v>3492</v>
      </c>
      <c r="G392" s="0" t="n">
        <v>5</v>
      </c>
      <c r="H392" s="0" t="n">
        <v>9</v>
      </c>
      <c r="I392" s="0" t="n">
        <v>9</v>
      </c>
      <c r="J392" s="0" t="n">
        <v>8</v>
      </c>
      <c r="K392" s="0" t="n">
        <v>0.7</v>
      </c>
      <c r="L392" s="1" t="n">
        <v>3492</v>
      </c>
      <c r="M392" s="0" t="n">
        <v>0</v>
      </c>
      <c r="N392" s="0" t="n">
        <v>3492</v>
      </c>
      <c r="O392" s="0" t="n">
        <v>43743</v>
      </c>
      <c r="P392" s="1" t="n">
        <v>11.91</v>
      </c>
      <c r="Q392" s="0" t="n">
        <v>0</v>
      </c>
      <c r="R392" s="0" t="n">
        <v>1</v>
      </c>
      <c r="S392" s="0" t="s">
        <v>42</v>
      </c>
      <c r="T392" s="0" t="str">
        <f aca="false">IF(L392="inf","False","True")</f>
        <v>True</v>
      </c>
      <c r="U392" s="0" t="str">
        <f aca="false">IF(V392="inf","False","True")</f>
        <v>True</v>
      </c>
      <c r="V392" s="4" t="n">
        <v>158977.42</v>
      </c>
      <c r="W392" s="4" t="n">
        <v>40056.57</v>
      </c>
      <c r="X392" s="0" t="n">
        <v>52.47</v>
      </c>
      <c r="Y392" s="5" t="n">
        <f aca="false">V392-L392</f>
        <v>155485.42</v>
      </c>
      <c r="Z392" s="6" t="n">
        <f aca="false">Y392/L392</f>
        <v>44.5261798396335</v>
      </c>
      <c r="AA392" s="3" t="n">
        <f aca="false">X392-P392</f>
        <v>40.56</v>
      </c>
      <c r="AB392" s="6" t="n">
        <f aca="false">AA392/P392</f>
        <v>3.40554156171285</v>
      </c>
    </row>
    <row r="393" customFormat="false" ht="12.75" hidden="false" customHeight="false" outlineLevel="0" collapsed="false">
      <c r="A393" s="0" t="s">
        <v>459</v>
      </c>
      <c r="B393" s="0" t="n">
        <v>1</v>
      </c>
      <c r="C393" s="0" t="s">
        <v>31</v>
      </c>
      <c r="D393" s="0" t="s">
        <v>31</v>
      </c>
      <c r="E393" s="0" t="n">
        <v>777</v>
      </c>
      <c r="F393" s="0" t="n">
        <v>3585</v>
      </c>
      <c r="G393" s="0" t="n">
        <v>5</v>
      </c>
      <c r="H393" s="0" t="n">
        <v>9</v>
      </c>
      <c r="I393" s="0" t="n">
        <v>9</v>
      </c>
      <c r="J393" s="0" t="n">
        <v>8</v>
      </c>
      <c r="K393" s="0" t="n">
        <v>0.7</v>
      </c>
      <c r="L393" s="1" t="n">
        <v>3585</v>
      </c>
      <c r="M393" s="0" t="n">
        <v>0</v>
      </c>
      <c r="N393" s="0" t="n">
        <v>3585</v>
      </c>
      <c r="O393" s="0" t="n">
        <v>41465</v>
      </c>
      <c r="P393" s="1" t="n">
        <v>17.69</v>
      </c>
      <c r="Q393" s="0" t="n">
        <v>0</v>
      </c>
      <c r="R393" s="0" t="n">
        <v>5</v>
      </c>
      <c r="S393" s="0" t="s">
        <v>42</v>
      </c>
      <c r="T393" s="0" t="str">
        <f aca="false">IF(L393="inf","False","True")</f>
        <v>True</v>
      </c>
      <c r="U393" s="0" t="str">
        <f aca="false">IF(V393="inf","False","True")</f>
        <v>True</v>
      </c>
      <c r="V393" s="4" t="n">
        <v>83146.27</v>
      </c>
      <c r="W393" s="4" t="n">
        <v>35608.9</v>
      </c>
      <c r="X393" s="0" t="n">
        <v>119.66</v>
      </c>
      <c r="Y393" s="5" t="n">
        <f aca="false">V393-L393</f>
        <v>79561.27</v>
      </c>
      <c r="Z393" s="6" t="n">
        <f aca="false">Y393/L393</f>
        <v>22.1928228730823</v>
      </c>
      <c r="AA393" s="3" t="n">
        <f aca="false">X393-P393</f>
        <v>101.97</v>
      </c>
      <c r="AB393" s="6" t="n">
        <f aca="false">AA393/P393</f>
        <v>5.76427360090447</v>
      </c>
    </row>
    <row r="394" customFormat="false" ht="12.75" hidden="false" customHeight="false" outlineLevel="0" collapsed="false">
      <c r="A394" s="0" t="s">
        <v>460</v>
      </c>
      <c r="B394" s="0" t="n">
        <v>2</v>
      </c>
      <c r="C394" s="0" t="s">
        <v>31</v>
      </c>
      <c r="D394" s="0" t="s">
        <v>31</v>
      </c>
      <c r="E394" s="0" t="n">
        <v>777</v>
      </c>
      <c r="F394" s="0" t="n">
        <v>3422</v>
      </c>
      <c r="G394" s="0" t="n">
        <v>5</v>
      </c>
      <c r="H394" s="0" t="n">
        <v>9</v>
      </c>
      <c r="I394" s="0" t="n">
        <v>9</v>
      </c>
      <c r="J394" s="0" t="n">
        <v>8</v>
      </c>
      <c r="K394" s="0" t="n">
        <v>0.7</v>
      </c>
      <c r="L394" s="1" t="n">
        <v>3422</v>
      </c>
      <c r="M394" s="0" t="n">
        <v>0</v>
      </c>
      <c r="N394" s="0" t="n">
        <v>3422</v>
      </c>
      <c r="O394" s="0" t="n">
        <v>46317</v>
      </c>
      <c r="P394" s="1" t="n">
        <v>6.86</v>
      </c>
      <c r="Q394" s="0" t="n">
        <v>0</v>
      </c>
      <c r="R394" s="0" t="n">
        <v>1</v>
      </c>
      <c r="S394" s="0" t="s">
        <v>42</v>
      </c>
      <c r="T394" s="0" t="str">
        <f aca="false">IF(L394="inf","False","True")</f>
        <v>True</v>
      </c>
      <c r="U394" s="0" t="str">
        <f aca="false">IF(V394="inf","False","True")</f>
        <v>True</v>
      </c>
      <c r="V394" s="4" t="n">
        <v>167818.71</v>
      </c>
      <c r="W394" s="4" t="n">
        <v>43075.6</v>
      </c>
      <c r="X394" s="0" t="n">
        <v>1.65</v>
      </c>
      <c r="Y394" s="5" t="n">
        <f aca="false">V394-L394</f>
        <v>164396.71</v>
      </c>
      <c r="Z394" s="6" t="n">
        <f aca="false">Y394/L394</f>
        <v>48.0411192285213</v>
      </c>
      <c r="AA394" s="3" t="n">
        <f aca="false">X394-P394</f>
        <v>-5.21</v>
      </c>
      <c r="AB394" s="6" t="n">
        <f aca="false">AA394/P394</f>
        <v>-0.759475218658892</v>
      </c>
    </row>
    <row r="395" customFormat="false" ht="12.75" hidden="false" customHeight="false" outlineLevel="0" collapsed="false">
      <c r="A395" s="0" t="s">
        <v>461</v>
      </c>
      <c r="B395" s="0" t="n">
        <v>3</v>
      </c>
      <c r="C395" s="0" t="s">
        <v>31</v>
      </c>
      <c r="D395" s="0" t="s">
        <v>31</v>
      </c>
      <c r="E395" s="0" t="n">
        <v>777</v>
      </c>
      <c r="F395" s="0" t="n">
        <v>3457</v>
      </c>
      <c r="G395" s="0" t="n">
        <v>5</v>
      </c>
      <c r="H395" s="0" t="n">
        <v>9</v>
      </c>
      <c r="I395" s="0" t="n">
        <v>9</v>
      </c>
      <c r="J395" s="0" t="n">
        <v>8</v>
      </c>
      <c r="K395" s="0" t="n">
        <v>0.7</v>
      </c>
      <c r="L395" s="1" t="n">
        <v>123788.16</v>
      </c>
      <c r="M395" s="0" t="n">
        <v>120413.17</v>
      </c>
      <c r="N395" s="0" t="n">
        <v>3374.99</v>
      </c>
      <c r="O395" s="0" t="n">
        <v>39632.27</v>
      </c>
      <c r="P395" s="1" t="n">
        <v>263.86</v>
      </c>
      <c r="Q395" s="0" t="n">
        <v>0</v>
      </c>
      <c r="R395" s="0" t="n">
        <v>4</v>
      </c>
      <c r="S395" s="0" t="s">
        <v>462</v>
      </c>
      <c r="T395" s="0" t="str">
        <f aca="false">IF(L395="inf","False","True")</f>
        <v>True</v>
      </c>
      <c r="U395" s="0" t="str">
        <f aca="false">IF(V395="inf","False","True")</f>
        <v>True</v>
      </c>
      <c r="V395" s="4" t="n">
        <v>143073.87</v>
      </c>
      <c r="W395" s="4" t="n">
        <v>40045.4</v>
      </c>
      <c r="X395" s="0" t="n">
        <v>11.81</v>
      </c>
      <c r="Y395" s="5" t="n">
        <f aca="false">V395-L395</f>
        <v>19285.71</v>
      </c>
      <c r="Z395" s="6" t="n">
        <f aca="false">Y395/L395</f>
        <v>0.155796079366556</v>
      </c>
      <c r="AA395" s="3" t="n">
        <f aca="false">X395-P395</f>
        <v>-252.05</v>
      </c>
      <c r="AB395" s="6" t="n">
        <f aca="false">AA395/P395</f>
        <v>-0.955241415902372</v>
      </c>
    </row>
    <row r="396" customFormat="false" ht="12.75" hidden="false" customHeight="false" outlineLevel="0" collapsed="false">
      <c r="A396" s="0" t="s">
        <v>463</v>
      </c>
      <c r="B396" s="0" t="n">
        <v>4</v>
      </c>
      <c r="C396" s="0" t="s">
        <v>31</v>
      </c>
      <c r="D396" s="0" t="s">
        <v>31</v>
      </c>
      <c r="E396" s="0" t="n">
        <v>777</v>
      </c>
      <c r="F396" s="0" t="n">
        <v>3528</v>
      </c>
      <c r="G396" s="0" t="n">
        <v>5</v>
      </c>
      <c r="H396" s="0" t="n">
        <v>9</v>
      </c>
      <c r="I396" s="0" t="n">
        <v>9</v>
      </c>
      <c r="J396" s="0" t="n">
        <v>8</v>
      </c>
      <c r="K396" s="0" t="n">
        <v>0.7</v>
      </c>
      <c r="L396" s="1" t="n">
        <v>3528</v>
      </c>
      <c r="M396" s="0" t="n">
        <v>0</v>
      </c>
      <c r="N396" s="0" t="n">
        <v>3528</v>
      </c>
      <c r="O396" s="0" t="n">
        <v>41219</v>
      </c>
      <c r="P396" s="1" t="n">
        <v>9.53</v>
      </c>
      <c r="Q396" s="0" t="n">
        <v>0</v>
      </c>
      <c r="R396" s="0" t="n">
        <v>6</v>
      </c>
      <c r="S396" s="0" t="s">
        <v>42</v>
      </c>
      <c r="T396" s="0" t="str">
        <f aca="false">IF(L396="inf","False","True")</f>
        <v>True</v>
      </c>
      <c r="U396" s="0" t="str">
        <f aca="false">IF(V396="inf","False","True")</f>
        <v>False</v>
      </c>
      <c r="V396" s="4" t="s">
        <v>37</v>
      </c>
      <c r="W396" s="4" t="s">
        <v>37</v>
      </c>
      <c r="X396" s="0" t="n">
        <v>14.94</v>
      </c>
      <c r="Y396" s="5" t="e">
        <f aca="false">V396-L396</f>
        <v>#VALUE!</v>
      </c>
      <c r="Z396" s="6" t="e">
        <f aca="false">Y396/L396</f>
        <v>#VALUE!</v>
      </c>
      <c r="AA396" s="3" t="n">
        <f aca="false">X396-P396</f>
        <v>5.41</v>
      </c>
      <c r="AB396" s="6" t="n">
        <f aca="false">AA396/P396</f>
        <v>0.567681007345226</v>
      </c>
    </row>
    <row r="397" customFormat="false" ht="12.75" hidden="false" customHeight="false" outlineLevel="0" collapsed="false">
      <c r="A397" s="0" t="s">
        <v>464</v>
      </c>
      <c r="B397" s="0" t="n">
        <v>0</v>
      </c>
      <c r="C397" s="0" t="s">
        <v>31</v>
      </c>
      <c r="D397" s="0" t="s">
        <v>31</v>
      </c>
      <c r="E397" s="0" t="n">
        <v>1111</v>
      </c>
      <c r="F397" s="0" t="n">
        <v>4996</v>
      </c>
      <c r="G397" s="0" t="n">
        <v>5</v>
      </c>
      <c r="H397" s="0" t="n">
        <v>9</v>
      </c>
      <c r="I397" s="0" t="n">
        <v>9</v>
      </c>
      <c r="J397" s="0" t="n">
        <v>8</v>
      </c>
      <c r="K397" s="0" t="n">
        <v>0.7</v>
      </c>
      <c r="L397" s="1" t="n">
        <v>4996</v>
      </c>
      <c r="M397" s="0" t="n">
        <v>0</v>
      </c>
      <c r="N397" s="0" t="n">
        <v>4996</v>
      </c>
      <c r="O397" s="0" t="n">
        <v>62528</v>
      </c>
      <c r="P397" s="1" t="n">
        <v>15.05</v>
      </c>
      <c r="Q397" s="0" t="n">
        <v>0</v>
      </c>
      <c r="R397" s="0" t="n">
        <v>5</v>
      </c>
      <c r="S397" s="0" t="s">
        <v>42</v>
      </c>
      <c r="T397" s="0" t="str">
        <f aca="false">IF(L397="inf","False","True")</f>
        <v>True</v>
      </c>
      <c r="U397" s="0" t="str">
        <f aca="false">IF(V397="inf","False","True")</f>
        <v>True</v>
      </c>
      <c r="V397" s="4" t="n">
        <v>174282.06</v>
      </c>
      <c r="W397" s="4" t="n">
        <v>56082.32</v>
      </c>
      <c r="X397" s="0" t="n">
        <v>2.55</v>
      </c>
      <c r="Y397" s="5" t="n">
        <f aca="false">V397-L397</f>
        <v>169286.06</v>
      </c>
      <c r="Z397" s="6" t="n">
        <f aca="false">Y397/L397</f>
        <v>33.8843194555645</v>
      </c>
      <c r="AA397" s="3" t="n">
        <f aca="false">X397-P397</f>
        <v>-12.5</v>
      </c>
      <c r="AB397" s="6" t="n">
        <f aca="false">AA397/P397</f>
        <v>-0.830564784053156</v>
      </c>
    </row>
    <row r="398" customFormat="false" ht="12.75" hidden="false" customHeight="false" outlineLevel="0" collapsed="false">
      <c r="A398" s="0" t="s">
        <v>465</v>
      </c>
      <c r="B398" s="0" t="n">
        <v>1</v>
      </c>
      <c r="C398" s="0" t="s">
        <v>31</v>
      </c>
      <c r="D398" s="0" t="s">
        <v>31</v>
      </c>
      <c r="E398" s="0" t="n">
        <v>1111</v>
      </c>
      <c r="F398" s="0" t="n">
        <v>5128</v>
      </c>
      <c r="G398" s="0" t="n">
        <v>5</v>
      </c>
      <c r="H398" s="0" t="n">
        <v>9</v>
      </c>
      <c r="I398" s="0" t="n">
        <v>9</v>
      </c>
      <c r="J398" s="0" t="n">
        <v>8</v>
      </c>
      <c r="K398" s="0" t="n">
        <v>0.7</v>
      </c>
      <c r="L398" s="1" t="n">
        <v>5128</v>
      </c>
      <c r="M398" s="0" t="n">
        <v>0</v>
      </c>
      <c r="N398" s="0" t="n">
        <v>5128</v>
      </c>
      <c r="O398" s="0" t="n">
        <v>59283</v>
      </c>
      <c r="P398" s="1" t="n">
        <v>10.62</v>
      </c>
      <c r="Q398" s="0" t="n">
        <v>0</v>
      </c>
      <c r="R398" s="0" t="n">
        <v>7</v>
      </c>
      <c r="S398" s="0" t="s">
        <v>42</v>
      </c>
      <c r="T398" s="0" t="str">
        <f aca="false">IF(L398="inf","False","True")</f>
        <v>True</v>
      </c>
      <c r="U398" s="0" t="str">
        <f aca="false">IF(V398="inf","False","True")</f>
        <v>True</v>
      </c>
      <c r="V398" s="4" t="n">
        <v>116082.35</v>
      </c>
      <c r="W398" s="4" t="n">
        <v>52569.72</v>
      </c>
      <c r="X398" s="0" t="n">
        <v>228.21</v>
      </c>
      <c r="Y398" s="5" t="n">
        <f aca="false">V398-L398</f>
        <v>110954.35</v>
      </c>
      <c r="Z398" s="6" t="n">
        <f aca="false">Y398/L398</f>
        <v>21.6369637285491</v>
      </c>
      <c r="AA398" s="3" t="n">
        <f aca="false">X398-P398</f>
        <v>217.59</v>
      </c>
      <c r="AB398" s="6" t="n">
        <f aca="false">AA398/P398</f>
        <v>20.4887005649718</v>
      </c>
    </row>
    <row r="399" customFormat="false" ht="12.75" hidden="false" customHeight="false" outlineLevel="0" collapsed="false">
      <c r="A399" s="0" t="s">
        <v>466</v>
      </c>
      <c r="B399" s="0" t="n">
        <v>2</v>
      </c>
      <c r="C399" s="0" t="s">
        <v>31</v>
      </c>
      <c r="D399" s="0" t="s">
        <v>31</v>
      </c>
      <c r="E399" s="0" t="n">
        <v>1111</v>
      </c>
      <c r="F399" s="0" t="n">
        <v>4896</v>
      </c>
      <c r="G399" s="0" t="n">
        <v>5</v>
      </c>
      <c r="H399" s="0" t="n">
        <v>9</v>
      </c>
      <c r="I399" s="0" t="n">
        <v>9</v>
      </c>
      <c r="J399" s="0" t="n">
        <v>8</v>
      </c>
      <c r="K399" s="0" t="n">
        <v>0.7</v>
      </c>
      <c r="L399" s="1" t="n">
        <v>4896</v>
      </c>
      <c r="M399" s="0" t="n">
        <v>0</v>
      </c>
      <c r="N399" s="0" t="n">
        <v>4896</v>
      </c>
      <c r="O399" s="0" t="n">
        <v>66177</v>
      </c>
      <c r="P399" s="1" t="n">
        <v>7.04</v>
      </c>
      <c r="Q399" s="0" t="n">
        <v>0</v>
      </c>
      <c r="R399" s="0" t="n">
        <v>1</v>
      </c>
      <c r="S399" s="0" t="s">
        <v>42</v>
      </c>
      <c r="T399" s="0" t="str">
        <f aca="false">IF(L399="inf","False","True")</f>
        <v>True</v>
      </c>
      <c r="U399" s="0" t="str">
        <f aca="false">IF(V399="inf","False","True")</f>
        <v>True</v>
      </c>
      <c r="V399" s="4" t="n">
        <v>181314.26</v>
      </c>
      <c r="W399" s="4" t="n">
        <v>59384.44</v>
      </c>
      <c r="X399" s="0" t="n">
        <v>25.8</v>
      </c>
      <c r="Y399" s="5" t="n">
        <f aca="false">V399-L399</f>
        <v>176418.26</v>
      </c>
      <c r="Z399" s="6" t="n">
        <f aca="false">Y399/L399</f>
        <v>36.0331413398693</v>
      </c>
      <c r="AA399" s="3" t="n">
        <f aca="false">X399-P399</f>
        <v>18.76</v>
      </c>
      <c r="AB399" s="6" t="n">
        <f aca="false">AA399/P399</f>
        <v>2.66477272727273</v>
      </c>
    </row>
    <row r="400" customFormat="false" ht="12.75" hidden="false" customHeight="false" outlineLevel="0" collapsed="false">
      <c r="A400" s="0" t="s">
        <v>467</v>
      </c>
      <c r="B400" s="0" t="n">
        <v>3</v>
      </c>
      <c r="C400" s="0" t="s">
        <v>31</v>
      </c>
      <c r="D400" s="0" t="s">
        <v>31</v>
      </c>
      <c r="E400" s="0" t="n">
        <v>1111</v>
      </c>
      <c r="F400" s="0" t="n">
        <v>4946</v>
      </c>
      <c r="G400" s="0" t="n">
        <v>5</v>
      </c>
      <c r="H400" s="0" t="n">
        <v>9</v>
      </c>
      <c r="I400" s="0" t="n">
        <v>9</v>
      </c>
      <c r="J400" s="0" t="n">
        <v>8</v>
      </c>
      <c r="K400" s="0" t="n">
        <v>0.7</v>
      </c>
      <c r="L400" s="1" t="n">
        <v>188956.91</v>
      </c>
      <c r="M400" s="0" t="n">
        <v>184291.84</v>
      </c>
      <c r="N400" s="0" t="n">
        <v>4665.07</v>
      </c>
      <c r="O400" s="0" t="n">
        <v>57195.57</v>
      </c>
      <c r="P400" s="1" t="n">
        <v>371.9</v>
      </c>
      <c r="Q400" s="0" t="n">
        <v>0</v>
      </c>
      <c r="R400" s="0" t="n">
        <v>3</v>
      </c>
      <c r="S400" s="0" t="s">
        <v>468</v>
      </c>
      <c r="T400" s="0" t="str">
        <f aca="false">IF(L400="inf","False","True")</f>
        <v>True</v>
      </c>
      <c r="U400" s="0" t="str">
        <f aca="false">IF(V400="inf","False","True")</f>
        <v>False</v>
      </c>
      <c r="V400" s="4" t="s">
        <v>37</v>
      </c>
      <c r="W400" s="4" t="s">
        <v>37</v>
      </c>
      <c r="X400" s="0" t="n">
        <v>20.83</v>
      </c>
      <c r="Y400" s="5" t="e">
        <f aca="false">V400-L400</f>
        <v>#VALUE!</v>
      </c>
      <c r="Z400" s="6" t="e">
        <f aca="false">Y400/L400</f>
        <v>#VALUE!</v>
      </c>
      <c r="AA400" s="3" t="n">
        <f aca="false">X400-P400</f>
        <v>-351.07</v>
      </c>
      <c r="AB400" s="6" t="n">
        <f aca="false">AA400/P400</f>
        <v>-0.943990319978489</v>
      </c>
    </row>
    <row r="401" customFormat="false" ht="12.75" hidden="false" customHeight="false" outlineLevel="0" collapsed="false">
      <c r="A401" s="0" t="s">
        <v>469</v>
      </c>
      <c r="B401" s="0" t="n">
        <v>4</v>
      </c>
      <c r="C401" s="0" t="s">
        <v>31</v>
      </c>
      <c r="D401" s="0" t="s">
        <v>31</v>
      </c>
      <c r="E401" s="0" t="n">
        <v>1111</v>
      </c>
      <c r="F401" s="0" t="n">
        <v>5047</v>
      </c>
      <c r="G401" s="0" t="n">
        <v>5</v>
      </c>
      <c r="H401" s="0" t="n">
        <v>9</v>
      </c>
      <c r="I401" s="0" t="n">
        <v>9</v>
      </c>
      <c r="J401" s="0" t="n">
        <v>8</v>
      </c>
      <c r="K401" s="0" t="n">
        <v>0.7</v>
      </c>
      <c r="L401" s="1" t="n">
        <v>5047</v>
      </c>
      <c r="M401" s="0" t="n">
        <v>0</v>
      </c>
      <c r="N401" s="0" t="n">
        <v>5047</v>
      </c>
      <c r="O401" s="0" t="n">
        <v>58884</v>
      </c>
      <c r="P401" s="1" t="n">
        <v>5.67</v>
      </c>
      <c r="Q401" s="0" t="n">
        <v>0</v>
      </c>
      <c r="R401" s="0" t="n">
        <v>1</v>
      </c>
      <c r="S401" s="0" t="s">
        <v>42</v>
      </c>
      <c r="T401" s="0" t="str">
        <f aca="false">IF(L401="inf","False","True")</f>
        <v>True</v>
      </c>
      <c r="U401" s="0" t="str">
        <f aca="false">IF(V401="inf","False","True")</f>
        <v>True</v>
      </c>
      <c r="V401" s="4" t="n">
        <v>145848.67</v>
      </c>
      <c r="W401" s="4" t="n">
        <v>61594.26</v>
      </c>
      <c r="X401" s="0" t="n">
        <v>13.33</v>
      </c>
      <c r="Y401" s="5" t="n">
        <f aca="false">V401-L401</f>
        <v>140801.67</v>
      </c>
      <c r="Z401" s="6" t="n">
        <f aca="false">Y401/L401</f>
        <v>27.8980919358035</v>
      </c>
      <c r="AA401" s="3" t="n">
        <f aca="false">X401-P401</f>
        <v>7.66</v>
      </c>
      <c r="AB401" s="6" t="n">
        <f aca="false">AA401/P401</f>
        <v>1.35097001763668</v>
      </c>
    </row>
    <row r="402" customFormat="false" ht="12.75" hidden="false" customHeight="false" outlineLevel="0" collapsed="false">
      <c r="A402" s="0" t="s">
        <v>470</v>
      </c>
      <c r="B402" s="0" t="n">
        <v>0</v>
      </c>
      <c r="C402" s="0" t="s">
        <v>31</v>
      </c>
      <c r="D402" s="0" t="s">
        <v>31</v>
      </c>
      <c r="E402" s="0" t="n">
        <v>333</v>
      </c>
      <c r="F402" s="0" t="n">
        <v>1521</v>
      </c>
      <c r="G402" s="0" t="n">
        <v>5</v>
      </c>
      <c r="H402" s="0" t="n">
        <v>9</v>
      </c>
      <c r="I402" s="0" t="n">
        <v>9</v>
      </c>
      <c r="J402" s="0" t="n">
        <v>12</v>
      </c>
      <c r="K402" s="0" t="n">
        <v>0.7</v>
      </c>
      <c r="L402" s="1" t="n">
        <v>1521</v>
      </c>
      <c r="M402" s="0" t="n">
        <v>0</v>
      </c>
      <c r="N402" s="0" t="n">
        <v>1521</v>
      </c>
      <c r="O402" s="0" t="n">
        <v>20360</v>
      </c>
      <c r="P402" s="1" t="n">
        <v>10.88</v>
      </c>
      <c r="Q402" s="0" t="n">
        <v>0</v>
      </c>
      <c r="R402" s="0" t="n">
        <v>1</v>
      </c>
      <c r="S402" s="0" t="s">
        <v>42</v>
      </c>
      <c r="T402" s="0" t="str">
        <f aca="false">IF(L402="inf","False","True")</f>
        <v>True</v>
      </c>
      <c r="U402" s="0" t="str">
        <f aca="false">IF(V402="inf","False","True")</f>
        <v>True</v>
      </c>
      <c r="V402" s="4" t="n">
        <v>73690.77</v>
      </c>
      <c r="W402" s="4" t="n">
        <v>17365.52</v>
      </c>
      <c r="X402" s="0" t="n">
        <v>102.67</v>
      </c>
      <c r="Y402" s="5" t="n">
        <f aca="false">V402-L402</f>
        <v>72169.77</v>
      </c>
      <c r="Z402" s="6" t="n">
        <f aca="false">Y402/L402</f>
        <v>47.4488954635109</v>
      </c>
      <c r="AA402" s="3" t="n">
        <f aca="false">X402-P402</f>
        <v>91.79</v>
      </c>
      <c r="AB402" s="6" t="n">
        <f aca="false">AA402/P402</f>
        <v>8.43658088235294</v>
      </c>
    </row>
    <row r="403" customFormat="false" ht="12.75" hidden="false" customHeight="false" outlineLevel="0" collapsed="false">
      <c r="A403" s="0" t="s">
        <v>471</v>
      </c>
      <c r="B403" s="0" t="n">
        <v>1</v>
      </c>
      <c r="C403" s="0" t="s">
        <v>31</v>
      </c>
      <c r="D403" s="0" t="s">
        <v>31</v>
      </c>
      <c r="E403" s="0" t="n">
        <v>333</v>
      </c>
      <c r="F403" s="0" t="n">
        <v>1626</v>
      </c>
      <c r="G403" s="0" t="n">
        <v>5</v>
      </c>
      <c r="H403" s="0" t="n">
        <v>9</v>
      </c>
      <c r="I403" s="0" t="n">
        <v>9</v>
      </c>
      <c r="J403" s="0" t="n">
        <v>12</v>
      </c>
      <c r="K403" s="0" t="n">
        <v>0.7</v>
      </c>
      <c r="L403" s="1" t="n">
        <v>1626</v>
      </c>
      <c r="M403" s="0" t="n">
        <v>0</v>
      </c>
      <c r="N403" s="0" t="n">
        <v>1626</v>
      </c>
      <c r="O403" s="0" t="n">
        <v>20658</v>
      </c>
      <c r="P403" s="1" t="n">
        <v>11.75</v>
      </c>
      <c r="Q403" s="0" t="n">
        <v>0</v>
      </c>
      <c r="R403" s="0" t="n">
        <v>5</v>
      </c>
      <c r="S403" s="0" t="s">
        <v>42</v>
      </c>
      <c r="T403" s="0" t="str">
        <f aca="false">IF(L403="inf","False","True")</f>
        <v>True</v>
      </c>
      <c r="U403" s="0" t="str">
        <f aca="false">IF(V403="inf","False","True")</f>
        <v>True</v>
      </c>
      <c r="V403" s="4" t="n">
        <v>64950.6</v>
      </c>
      <c r="W403" s="4" t="n">
        <v>18355.72</v>
      </c>
      <c r="X403" s="0" t="n">
        <v>16.15</v>
      </c>
      <c r="Y403" s="5" t="n">
        <f aca="false">V403-L403</f>
        <v>63324.6</v>
      </c>
      <c r="Z403" s="6" t="n">
        <f aca="false">Y403/L403</f>
        <v>38.9450184501845</v>
      </c>
      <c r="AA403" s="3" t="n">
        <f aca="false">X403-P403</f>
        <v>4.4</v>
      </c>
      <c r="AB403" s="6" t="n">
        <f aca="false">AA403/P403</f>
        <v>0.374468085106383</v>
      </c>
    </row>
    <row r="404" customFormat="false" ht="12.75" hidden="false" customHeight="false" outlineLevel="0" collapsed="false">
      <c r="A404" s="0" t="s">
        <v>472</v>
      </c>
      <c r="B404" s="0" t="n">
        <v>2</v>
      </c>
      <c r="C404" s="0" t="s">
        <v>31</v>
      </c>
      <c r="D404" s="0" t="s">
        <v>31</v>
      </c>
      <c r="E404" s="0" t="n">
        <v>333</v>
      </c>
      <c r="F404" s="0" t="n">
        <v>1579</v>
      </c>
      <c r="G404" s="0" t="n">
        <v>5</v>
      </c>
      <c r="H404" s="0" t="n">
        <v>9</v>
      </c>
      <c r="I404" s="0" t="n">
        <v>9</v>
      </c>
      <c r="J404" s="0" t="n">
        <v>12</v>
      </c>
      <c r="K404" s="0" t="n">
        <v>0.7</v>
      </c>
      <c r="L404" s="1" t="n">
        <v>1579</v>
      </c>
      <c r="M404" s="0" t="n">
        <v>0</v>
      </c>
      <c r="N404" s="0" t="n">
        <v>1579</v>
      </c>
      <c r="O404" s="0" t="n">
        <v>20521</v>
      </c>
      <c r="P404" s="1" t="n">
        <v>12.48</v>
      </c>
      <c r="Q404" s="0" t="n">
        <v>0</v>
      </c>
      <c r="R404" s="0" t="n">
        <v>1</v>
      </c>
      <c r="S404" s="0" t="s">
        <v>42</v>
      </c>
      <c r="T404" s="0" t="str">
        <f aca="false">IF(L404="inf","False","True")</f>
        <v>True</v>
      </c>
      <c r="U404" s="0" t="str">
        <f aca="false">IF(V404="inf","False","True")</f>
        <v>True</v>
      </c>
      <c r="V404" s="4" t="n">
        <v>20497.2</v>
      </c>
      <c r="W404" s="4" t="n">
        <v>18840.5</v>
      </c>
      <c r="X404" s="0" t="n">
        <v>374.62</v>
      </c>
      <c r="Y404" s="5" t="n">
        <f aca="false">V404-L404</f>
        <v>18918.2</v>
      </c>
      <c r="Z404" s="6" t="n">
        <f aca="false">Y404/L404</f>
        <v>11.9811272957568</v>
      </c>
      <c r="AA404" s="3" t="n">
        <f aca="false">X404-P404</f>
        <v>362.14</v>
      </c>
      <c r="AB404" s="6" t="n">
        <f aca="false">AA404/P404</f>
        <v>29.0176282051282</v>
      </c>
    </row>
    <row r="405" customFormat="false" ht="12.75" hidden="false" customHeight="false" outlineLevel="0" collapsed="false">
      <c r="A405" s="0" t="s">
        <v>473</v>
      </c>
      <c r="B405" s="0" t="n">
        <v>3</v>
      </c>
      <c r="C405" s="0" t="s">
        <v>31</v>
      </c>
      <c r="D405" s="0" t="s">
        <v>31</v>
      </c>
      <c r="E405" s="0" t="n">
        <v>333</v>
      </c>
      <c r="F405" s="0" t="n">
        <v>1561</v>
      </c>
      <c r="G405" s="0" t="n">
        <v>5</v>
      </c>
      <c r="H405" s="0" t="n">
        <v>9</v>
      </c>
      <c r="I405" s="0" t="n">
        <v>9</v>
      </c>
      <c r="J405" s="0" t="n">
        <v>12</v>
      </c>
      <c r="K405" s="0" t="n">
        <v>0.7</v>
      </c>
      <c r="L405" s="1" t="n">
        <v>57574.06</v>
      </c>
      <c r="M405" s="0" t="n">
        <v>56130.18</v>
      </c>
      <c r="N405" s="0" t="n">
        <v>1443.88</v>
      </c>
      <c r="O405" s="0" t="n">
        <v>17480.47</v>
      </c>
      <c r="P405" s="1" t="n">
        <v>338.28</v>
      </c>
      <c r="Q405" s="0" t="n">
        <v>0.02</v>
      </c>
      <c r="R405" s="0" t="n">
        <v>2</v>
      </c>
      <c r="S405" s="0" t="s">
        <v>474</v>
      </c>
      <c r="T405" s="0" t="str">
        <f aca="false">IF(L405="inf","False","True")</f>
        <v>True</v>
      </c>
      <c r="U405" s="0" t="str">
        <f aca="false">IF(V405="inf","False","True")</f>
        <v>False</v>
      </c>
      <c r="V405" s="4" t="s">
        <v>37</v>
      </c>
      <c r="W405" s="4" t="s">
        <v>37</v>
      </c>
      <c r="X405" s="0" t="n">
        <v>18.42</v>
      </c>
      <c r="Y405" s="5" t="e">
        <f aca="false">V405-L405</f>
        <v>#VALUE!</v>
      </c>
      <c r="Z405" s="6" t="e">
        <f aca="false">Y405/L405</f>
        <v>#VALUE!</v>
      </c>
      <c r="AA405" s="3" t="n">
        <f aca="false">X405-P405</f>
        <v>-319.86</v>
      </c>
      <c r="AB405" s="6" t="n">
        <f aca="false">AA405/P405</f>
        <v>-0.945548066690316</v>
      </c>
    </row>
    <row r="406" customFormat="false" ht="12.75" hidden="false" customHeight="false" outlineLevel="0" collapsed="false">
      <c r="A406" s="0" t="s">
        <v>475</v>
      </c>
      <c r="B406" s="0" t="n">
        <v>4</v>
      </c>
      <c r="C406" s="0" t="s">
        <v>31</v>
      </c>
      <c r="D406" s="0" t="s">
        <v>31</v>
      </c>
      <c r="E406" s="0" t="n">
        <v>333</v>
      </c>
      <c r="F406" s="0" t="n">
        <v>1623</v>
      </c>
      <c r="G406" s="0" t="n">
        <v>5</v>
      </c>
      <c r="H406" s="0" t="n">
        <v>9</v>
      </c>
      <c r="I406" s="0" t="n">
        <v>9</v>
      </c>
      <c r="J406" s="0" t="n">
        <v>12</v>
      </c>
      <c r="K406" s="0" t="n">
        <v>0.7</v>
      </c>
      <c r="L406" s="1" t="n">
        <v>1623</v>
      </c>
      <c r="M406" s="0" t="n">
        <v>0</v>
      </c>
      <c r="N406" s="0" t="n">
        <v>1623</v>
      </c>
      <c r="O406" s="0" t="n">
        <v>20167</v>
      </c>
      <c r="P406" s="1" t="n">
        <v>12.42</v>
      </c>
      <c r="Q406" s="0" t="n">
        <v>0</v>
      </c>
      <c r="R406" s="0" t="n">
        <v>1</v>
      </c>
      <c r="S406" s="0" t="s">
        <v>42</v>
      </c>
      <c r="T406" s="0" t="str">
        <f aca="false">IF(L406="inf","False","True")</f>
        <v>True</v>
      </c>
      <c r="U406" s="0" t="str">
        <f aca="false">IF(V406="inf","False","True")</f>
        <v>True</v>
      </c>
      <c r="V406" s="4" t="n">
        <v>54732.93</v>
      </c>
      <c r="W406" s="4" t="n">
        <v>18535.85</v>
      </c>
      <c r="X406" s="0" t="n">
        <v>29.71</v>
      </c>
      <c r="Y406" s="5" t="n">
        <f aca="false">V406-L406</f>
        <v>53109.93</v>
      </c>
      <c r="Z406" s="6" t="n">
        <f aca="false">Y406/L406</f>
        <v>32.7233086876155</v>
      </c>
      <c r="AA406" s="3" t="n">
        <f aca="false">X406-P406</f>
        <v>17.29</v>
      </c>
      <c r="AB406" s="6" t="n">
        <f aca="false">AA406/P406</f>
        <v>1.39210950080515</v>
      </c>
    </row>
    <row r="407" customFormat="false" ht="12.75" hidden="false" customHeight="false" outlineLevel="0" collapsed="false">
      <c r="A407" s="0" t="s">
        <v>476</v>
      </c>
      <c r="B407" s="0" t="n">
        <v>0</v>
      </c>
      <c r="C407" s="0" t="s">
        <v>31</v>
      </c>
      <c r="D407" s="0" t="s">
        <v>31</v>
      </c>
      <c r="E407" s="0" t="n">
        <v>555</v>
      </c>
      <c r="F407" s="0" t="n">
        <v>2539</v>
      </c>
      <c r="G407" s="0" t="n">
        <v>5</v>
      </c>
      <c r="H407" s="0" t="n">
        <v>9</v>
      </c>
      <c r="I407" s="0" t="n">
        <v>9</v>
      </c>
      <c r="J407" s="0" t="n">
        <v>12</v>
      </c>
      <c r="K407" s="0" t="n">
        <v>0.7</v>
      </c>
      <c r="L407" s="1" t="n">
        <v>2539</v>
      </c>
      <c r="M407" s="0" t="n">
        <v>0</v>
      </c>
      <c r="N407" s="0" t="n">
        <v>2539</v>
      </c>
      <c r="O407" s="0" t="n">
        <v>33914</v>
      </c>
      <c r="P407" s="1" t="n">
        <v>9.26</v>
      </c>
      <c r="Q407" s="0" t="n">
        <v>0</v>
      </c>
      <c r="R407" s="0" t="n">
        <v>1</v>
      </c>
      <c r="S407" s="0" t="s">
        <v>42</v>
      </c>
      <c r="T407" s="0" t="str">
        <f aca="false">IF(L407="inf","False","True")</f>
        <v>True</v>
      </c>
      <c r="U407" s="0" t="str">
        <f aca="false">IF(V407="inf","False","True")</f>
        <v>True</v>
      </c>
      <c r="V407" s="4" t="n">
        <v>109125.34</v>
      </c>
      <c r="W407" s="4" t="n">
        <v>29793.87</v>
      </c>
      <c r="X407" s="0" t="n">
        <v>65.19</v>
      </c>
      <c r="Y407" s="5" t="n">
        <f aca="false">V407-L407</f>
        <v>106586.34</v>
      </c>
      <c r="Z407" s="6" t="n">
        <f aca="false">Y407/L407</f>
        <v>41.9796534068531</v>
      </c>
      <c r="AA407" s="3" t="n">
        <f aca="false">X407-P407</f>
        <v>55.93</v>
      </c>
      <c r="AB407" s="6" t="n">
        <f aca="false">AA407/P407</f>
        <v>6.03995680345572</v>
      </c>
    </row>
    <row r="408" customFormat="false" ht="12.75" hidden="false" customHeight="false" outlineLevel="0" collapsed="false">
      <c r="A408" s="0" t="s">
        <v>477</v>
      </c>
      <c r="B408" s="0" t="n">
        <v>1</v>
      </c>
      <c r="C408" s="0" t="s">
        <v>31</v>
      </c>
      <c r="D408" s="0" t="s">
        <v>31</v>
      </c>
      <c r="E408" s="0" t="n">
        <v>555</v>
      </c>
      <c r="F408" s="0" t="n">
        <v>2713</v>
      </c>
      <c r="G408" s="0" t="n">
        <v>5</v>
      </c>
      <c r="H408" s="0" t="n">
        <v>9</v>
      </c>
      <c r="I408" s="0" t="n">
        <v>9</v>
      </c>
      <c r="J408" s="0" t="n">
        <v>12</v>
      </c>
      <c r="K408" s="0" t="n">
        <v>0.7</v>
      </c>
      <c r="L408" s="1" t="n">
        <v>2713</v>
      </c>
      <c r="M408" s="0" t="n">
        <v>0</v>
      </c>
      <c r="N408" s="0" t="n">
        <v>2713</v>
      </c>
      <c r="O408" s="0" t="n">
        <v>34382</v>
      </c>
      <c r="P408" s="1" t="n">
        <v>6.94</v>
      </c>
      <c r="Q408" s="0" t="n">
        <v>0</v>
      </c>
      <c r="R408" s="0" t="n">
        <v>1</v>
      </c>
      <c r="S408" s="0" t="s">
        <v>42</v>
      </c>
      <c r="T408" s="0" t="str">
        <f aca="false">IF(L408="inf","False","True")</f>
        <v>True</v>
      </c>
      <c r="U408" s="0" t="str">
        <f aca="false">IF(V408="inf","False","True")</f>
        <v>True</v>
      </c>
      <c r="V408" s="4" t="n">
        <v>92178.97</v>
      </c>
      <c r="W408" s="4" t="n">
        <v>30537.41</v>
      </c>
      <c r="X408" s="0" t="n">
        <v>28.79</v>
      </c>
      <c r="Y408" s="5" t="n">
        <f aca="false">V408-L408</f>
        <v>89465.97</v>
      </c>
      <c r="Z408" s="6" t="n">
        <f aca="false">Y408/L408</f>
        <v>32.9767674161445</v>
      </c>
      <c r="AA408" s="3" t="n">
        <f aca="false">X408-P408</f>
        <v>21.85</v>
      </c>
      <c r="AB408" s="6" t="n">
        <f aca="false">AA408/P408</f>
        <v>3.14841498559078</v>
      </c>
    </row>
    <row r="409" customFormat="false" ht="12.75" hidden="false" customHeight="false" outlineLevel="0" collapsed="false">
      <c r="A409" s="0" t="s">
        <v>478</v>
      </c>
      <c r="B409" s="0" t="n">
        <v>2</v>
      </c>
      <c r="C409" s="0" t="s">
        <v>31</v>
      </c>
      <c r="D409" s="0" t="s">
        <v>31</v>
      </c>
      <c r="E409" s="0" t="n">
        <v>555</v>
      </c>
      <c r="F409" s="0" t="n">
        <v>2635</v>
      </c>
      <c r="G409" s="0" t="n">
        <v>5</v>
      </c>
      <c r="H409" s="0" t="n">
        <v>9</v>
      </c>
      <c r="I409" s="0" t="n">
        <v>9</v>
      </c>
      <c r="J409" s="0" t="n">
        <v>12</v>
      </c>
      <c r="K409" s="0" t="n">
        <v>0.7</v>
      </c>
      <c r="L409" s="1" t="n">
        <v>2635</v>
      </c>
      <c r="M409" s="0" t="n">
        <v>0</v>
      </c>
      <c r="N409" s="0" t="n">
        <v>2635</v>
      </c>
      <c r="O409" s="0" t="n">
        <v>34191</v>
      </c>
      <c r="P409" s="1" t="n">
        <v>15.98</v>
      </c>
      <c r="Q409" s="0" t="n">
        <v>0</v>
      </c>
      <c r="R409" s="0" t="n">
        <v>5</v>
      </c>
      <c r="S409" s="0" t="s">
        <v>42</v>
      </c>
      <c r="T409" s="0" t="str">
        <f aca="false">IF(L409="inf","False","True")</f>
        <v>True</v>
      </c>
      <c r="U409" s="0" t="str">
        <f aca="false">IF(V409="inf","False","True")</f>
        <v>True</v>
      </c>
      <c r="V409" s="4" t="n">
        <v>105230.09</v>
      </c>
      <c r="W409" s="4" t="n">
        <v>28946.06</v>
      </c>
      <c r="X409" s="0" t="n">
        <v>249.2</v>
      </c>
      <c r="Y409" s="5" t="n">
        <f aca="false">V409-L409</f>
        <v>102595.09</v>
      </c>
      <c r="Z409" s="6" t="n">
        <f aca="false">Y409/L409</f>
        <v>38.9355180265655</v>
      </c>
      <c r="AA409" s="3" t="n">
        <f aca="false">X409-P409</f>
        <v>233.22</v>
      </c>
      <c r="AB409" s="6" t="n">
        <f aca="false">AA409/P409</f>
        <v>14.5944931163955</v>
      </c>
    </row>
    <row r="410" customFormat="false" ht="12.75" hidden="false" customHeight="false" outlineLevel="0" collapsed="false">
      <c r="A410" s="0" t="s">
        <v>479</v>
      </c>
      <c r="B410" s="0" t="n">
        <v>3</v>
      </c>
      <c r="C410" s="0" t="s">
        <v>31</v>
      </c>
      <c r="D410" s="0" t="s">
        <v>31</v>
      </c>
      <c r="E410" s="0" t="n">
        <v>555</v>
      </c>
      <c r="F410" s="0" t="n">
        <v>2605</v>
      </c>
      <c r="G410" s="0" t="n">
        <v>5</v>
      </c>
      <c r="H410" s="0" t="n">
        <v>9</v>
      </c>
      <c r="I410" s="0" t="n">
        <v>9</v>
      </c>
      <c r="J410" s="0" t="n">
        <v>12</v>
      </c>
      <c r="K410" s="0" t="n">
        <v>0.7</v>
      </c>
      <c r="L410" s="1" t="n">
        <v>79056.82</v>
      </c>
      <c r="M410" s="0" t="n">
        <v>76585.15</v>
      </c>
      <c r="N410" s="0" t="n">
        <v>2471.66</v>
      </c>
      <c r="O410" s="0" t="n">
        <v>30056.31</v>
      </c>
      <c r="P410" s="1" t="n">
        <v>485.01</v>
      </c>
      <c r="Q410" s="0" t="n">
        <v>0</v>
      </c>
      <c r="R410" s="0" t="n">
        <v>18</v>
      </c>
      <c r="S410" s="0" t="s">
        <v>480</v>
      </c>
      <c r="T410" s="0" t="str">
        <f aca="false">IF(L410="inf","False","True")</f>
        <v>True</v>
      </c>
      <c r="U410" s="0" t="str">
        <f aca="false">IF(V410="inf","False","True")</f>
        <v>True</v>
      </c>
      <c r="V410" s="4" t="n">
        <v>83429.42</v>
      </c>
      <c r="W410" s="4" t="n">
        <v>29812.75</v>
      </c>
      <c r="X410" s="0" t="n">
        <v>48.62</v>
      </c>
      <c r="Y410" s="5" t="n">
        <f aca="false">V410-L410</f>
        <v>4372.59999999999</v>
      </c>
      <c r="Z410" s="6" t="n">
        <f aca="false">Y410/L410</f>
        <v>0.0553095861938286</v>
      </c>
      <c r="AA410" s="3" t="n">
        <f aca="false">X410-P410</f>
        <v>-436.39</v>
      </c>
      <c r="AB410" s="6" t="n">
        <f aca="false">AA410/P410</f>
        <v>-0.89975464423414</v>
      </c>
    </row>
    <row r="411" customFormat="false" ht="12.75" hidden="false" customHeight="false" outlineLevel="0" collapsed="false">
      <c r="A411" s="0" t="s">
        <v>481</v>
      </c>
      <c r="B411" s="0" t="n">
        <v>4</v>
      </c>
      <c r="C411" s="0" t="s">
        <v>31</v>
      </c>
      <c r="D411" s="0" t="s">
        <v>31</v>
      </c>
      <c r="E411" s="0" t="n">
        <v>555</v>
      </c>
      <c r="F411" s="0" t="n">
        <v>2708</v>
      </c>
      <c r="G411" s="0" t="n">
        <v>5</v>
      </c>
      <c r="H411" s="0" t="n">
        <v>9</v>
      </c>
      <c r="I411" s="0" t="n">
        <v>9</v>
      </c>
      <c r="J411" s="0" t="n">
        <v>12</v>
      </c>
      <c r="K411" s="0" t="n">
        <v>0.7</v>
      </c>
      <c r="L411" s="1" t="n">
        <v>2708</v>
      </c>
      <c r="M411" s="0" t="n">
        <v>0</v>
      </c>
      <c r="N411" s="0" t="n">
        <v>2708</v>
      </c>
      <c r="O411" s="0" t="n">
        <v>33571</v>
      </c>
      <c r="P411" s="1" t="n">
        <v>8.74</v>
      </c>
      <c r="Q411" s="0" t="n">
        <v>0</v>
      </c>
      <c r="R411" s="0" t="n">
        <v>1</v>
      </c>
      <c r="S411" s="0" t="s">
        <v>42</v>
      </c>
      <c r="T411" s="0" t="str">
        <f aca="false">IF(L411="inf","False","True")</f>
        <v>True</v>
      </c>
      <c r="U411" s="0" t="str">
        <f aca="false">IF(V411="inf","False","True")</f>
        <v>True</v>
      </c>
      <c r="V411" s="4" t="n">
        <v>125337.64</v>
      </c>
      <c r="W411" s="4" t="n">
        <v>29589.16</v>
      </c>
      <c r="X411" s="0" t="n">
        <v>200.41</v>
      </c>
      <c r="Y411" s="5" t="n">
        <f aca="false">V411-L411</f>
        <v>122629.64</v>
      </c>
      <c r="Z411" s="6" t="n">
        <f aca="false">Y411/L411</f>
        <v>45.2842097488922</v>
      </c>
      <c r="AA411" s="3" t="n">
        <f aca="false">X411-P411</f>
        <v>191.67</v>
      </c>
      <c r="AB411" s="6" t="n">
        <f aca="false">AA411/P411</f>
        <v>21.9302059496568</v>
      </c>
    </row>
    <row r="412" customFormat="false" ht="12.75" hidden="false" customHeight="false" outlineLevel="0" collapsed="false">
      <c r="A412" s="0" t="s">
        <v>482</v>
      </c>
      <c r="B412" s="0" t="n">
        <v>0</v>
      </c>
      <c r="C412" s="0" t="s">
        <v>31</v>
      </c>
      <c r="D412" s="0" t="s">
        <v>31</v>
      </c>
      <c r="E412" s="0" t="n">
        <v>777</v>
      </c>
      <c r="F412" s="0" t="n">
        <v>3558</v>
      </c>
      <c r="G412" s="0" t="n">
        <v>5</v>
      </c>
      <c r="H412" s="0" t="n">
        <v>9</v>
      </c>
      <c r="I412" s="0" t="n">
        <v>9</v>
      </c>
      <c r="J412" s="0" t="n">
        <v>12</v>
      </c>
      <c r="K412" s="0" t="n">
        <v>0.7</v>
      </c>
      <c r="L412" s="1" t="n">
        <v>3558</v>
      </c>
      <c r="M412" s="0" t="n">
        <v>0</v>
      </c>
      <c r="N412" s="0" t="n">
        <v>3558</v>
      </c>
      <c r="O412" s="0" t="n">
        <v>47657</v>
      </c>
      <c r="P412" s="1" t="n">
        <v>21.41</v>
      </c>
      <c r="Q412" s="0" t="n">
        <v>0</v>
      </c>
      <c r="R412" s="0" t="n">
        <v>8</v>
      </c>
      <c r="S412" s="0" t="s">
        <v>42</v>
      </c>
      <c r="T412" s="0" t="str">
        <f aca="false">IF(L412="inf","False","True")</f>
        <v>True</v>
      </c>
      <c r="U412" s="0" t="str">
        <f aca="false">IF(V412="inf","False","True")</f>
        <v>True</v>
      </c>
      <c r="V412" s="4" t="n">
        <v>164122.93</v>
      </c>
      <c r="W412" s="4" t="n">
        <v>41568.25</v>
      </c>
      <c r="X412" s="0" t="n">
        <v>228.65</v>
      </c>
      <c r="Y412" s="5" t="n">
        <f aca="false">V412-L412</f>
        <v>160564.93</v>
      </c>
      <c r="Z412" s="6" t="n">
        <f aca="false">Y412/L412</f>
        <v>45.1278611579539</v>
      </c>
      <c r="AA412" s="3" t="n">
        <f aca="false">X412-P412</f>
        <v>207.24</v>
      </c>
      <c r="AB412" s="6" t="n">
        <f aca="false">AA412/P412</f>
        <v>9.6795889771135</v>
      </c>
    </row>
    <row r="413" customFormat="false" ht="12.75" hidden="false" customHeight="false" outlineLevel="0" collapsed="false">
      <c r="A413" s="0" t="s">
        <v>483</v>
      </c>
      <c r="B413" s="0" t="n">
        <v>1</v>
      </c>
      <c r="C413" s="0" t="s">
        <v>31</v>
      </c>
      <c r="D413" s="0" t="s">
        <v>31</v>
      </c>
      <c r="E413" s="0" t="n">
        <v>777</v>
      </c>
      <c r="F413" s="0" t="n">
        <v>3804</v>
      </c>
      <c r="G413" s="0" t="n">
        <v>5</v>
      </c>
      <c r="H413" s="0" t="n">
        <v>9</v>
      </c>
      <c r="I413" s="0" t="n">
        <v>9</v>
      </c>
      <c r="J413" s="0" t="n">
        <v>12</v>
      </c>
      <c r="K413" s="0" t="n">
        <v>0.7</v>
      </c>
      <c r="L413" s="1" t="n">
        <v>3804</v>
      </c>
      <c r="M413" s="0" t="n">
        <v>0</v>
      </c>
      <c r="N413" s="0" t="n">
        <v>3804</v>
      </c>
      <c r="O413" s="0" t="n">
        <v>48155</v>
      </c>
      <c r="P413" s="1" t="n">
        <v>9.78</v>
      </c>
      <c r="Q413" s="0" t="n">
        <v>0</v>
      </c>
      <c r="R413" s="0" t="n">
        <v>1</v>
      </c>
      <c r="S413" s="0" t="s">
        <v>42</v>
      </c>
      <c r="T413" s="0" t="str">
        <f aca="false">IF(L413="inf","False","True")</f>
        <v>True</v>
      </c>
      <c r="U413" s="0" t="str">
        <f aca="false">IF(V413="inf","False","True")</f>
        <v>False</v>
      </c>
      <c r="V413" s="4" t="s">
        <v>37</v>
      </c>
      <c r="W413" s="4" t="s">
        <v>37</v>
      </c>
      <c r="X413" s="0" t="n">
        <v>17.74</v>
      </c>
      <c r="Y413" s="5" t="e">
        <f aca="false">V413-L413</f>
        <v>#VALUE!</v>
      </c>
      <c r="Z413" s="6" t="e">
        <f aca="false">Y413/L413</f>
        <v>#VALUE!</v>
      </c>
      <c r="AA413" s="3" t="n">
        <f aca="false">X413-P413</f>
        <v>7.96</v>
      </c>
      <c r="AB413" s="6" t="n">
        <f aca="false">AA413/P413</f>
        <v>0.813905930470348</v>
      </c>
    </row>
    <row r="414" customFormat="false" ht="12.75" hidden="false" customHeight="false" outlineLevel="0" collapsed="false">
      <c r="A414" s="0" t="s">
        <v>484</v>
      </c>
      <c r="B414" s="0" t="n">
        <v>2</v>
      </c>
      <c r="C414" s="0" t="s">
        <v>31</v>
      </c>
      <c r="D414" s="0" t="s">
        <v>31</v>
      </c>
      <c r="E414" s="0" t="n">
        <v>777</v>
      </c>
      <c r="F414" s="0" t="n">
        <v>3693</v>
      </c>
      <c r="G414" s="0" t="n">
        <v>5</v>
      </c>
      <c r="H414" s="0" t="n">
        <v>9</v>
      </c>
      <c r="I414" s="0" t="n">
        <v>9</v>
      </c>
      <c r="J414" s="0" t="n">
        <v>12</v>
      </c>
      <c r="K414" s="0" t="n">
        <v>0.7</v>
      </c>
      <c r="L414" s="1" t="n">
        <v>3693</v>
      </c>
      <c r="M414" s="0" t="n">
        <v>0</v>
      </c>
      <c r="N414" s="0" t="n">
        <v>3693</v>
      </c>
      <c r="O414" s="0" t="n">
        <v>47885</v>
      </c>
      <c r="P414" s="1" t="n">
        <v>16.69</v>
      </c>
      <c r="Q414" s="0" t="n">
        <v>0</v>
      </c>
      <c r="R414" s="0" t="n">
        <v>5</v>
      </c>
      <c r="S414" s="0" t="s">
        <v>42</v>
      </c>
      <c r="T414" s="0" t="str">
        <f aca="false">IF(L414="inf","False","True")</f>
        <v>True</v>
      </c>
      <c r="U414" s="0" t="str">
        <f aca="false">IF(V414="inf","False","True")</f>
        <v>True</v>
      </c>
      <c r="V414" s="4" t="n">
        <v>157634.3</v>
      </c>
      <c r="W414" s="4" t="n">
        <v>39536.79</v>
      </c>
      <c r="X414" s="0" t="n">
        <v>473.86</v>
      </c>
      <c r="Y414" s="5" t="n">
        <f aca="false">V414-L414</f>
        <v>153941.3</v>
      </c>
      <c r="Z414" s="6" t="n">
        <f aca="false">Y414/L414</f>
        <v>41.684619550501</v>
      </c>
      <c r="AA414" s="3" t="n">
        <f aca="false">X414-P414</f>
        <v>457.17</v>
      </c>
      <c r="AB414" s="6" t="n">
        <f aca="false">AA414/P414</f>
        <v>27.3918514080288</v>
      </c>
    </row>
    <row r="415" customFormat="false" ht="12.75" hidden="false" customHeight="false" outlineLevel="0" collapsed="false">
      <c r="A415" s="0" t="s">
        <v>485</v>
      </c>
      <c r="B415" s="0" t="n">
        <v>3</v>
      </c>
      <c r="C415" s="0" t="s">
        <v>31</v>
      </c>
      <c r="D415" s="0" t="s">
        <v>31</v>
      </c>
      <c r="E415" s="0" t="n">
        <v>777</v>
      </c>
      <c r="F415" s="0" t="n">
        <v>3653</v>
      </c>
      <c r="G415" s="0" t="n">
        <v>5</v>
      </c>
      <c r="H415" s="0" t="n">
        <v>9</v>
      </c>
      <c r="I415" s="0" t="n">
        <v>9</v>
      </c>
      <c r="J415" s="0" t="n">
        <v>12</v>
      </c>
      <c r="K415" s="0" t="n">
        <v>0.7</v>
      </c>
      <c r="L415" s="1" t="n">
        <v>154944.56</v>
      </c>
      <c r="M415" s="0" t="n">
        <v>151595.31</v>
      </c>
      <c r="N415" s="0" t="n">
        <v>3349.24</v>
      </c>
      <c r="O415" s="0" t="n">
        <v>40665.16</v>
      </c>
      <c r="P415" s="1" t="n">
        <v>629.38</v>
      </c>
      <c r="Q415" s="0" t="n">
        <v>0.03</v>
      </c>
      <c r="R415" s="0" t="n">
        <v>6</v>
      </c>
      <c r="S415" s="0" t="s">
        <v>32</v>
      </c>
      <c r="T415" s="0" t="str">
        <f aca="false">IF(L415="inf","False","True")</f>
        <v>True</v>
      </c>
      <c r="U415" s="0" t="str">
        <f aca="false">IF(V415="inf","False","True")</f>
        <v>True</v>
      </c>
      <c r="V415" s="4" t="n">
        <v>82588.35</v>
      </c>
      <c r="W415" s="4" t="n">
        <v>42513.77</v>
      </c>
      <c r="X415" s="0" t="n">
        <v>91.18</v>
      </c>
      <c r="Y415" s="5" t="n">
        <f aca="false">V415-L415</f>
        <v>-72356.21</v>
      </c>
      <c r="Z415" s="6" t="n">
        <f aca="false">Y415/L415</f>
        <v>-0.466981286726039</v>
      </c>
      <c r="AA415" s="3" t="n">
        <f aca="false">X415-P415</f>
        <v>-538.2</v>
      </c>
      <c r="AB415" s="6" t="n">
        <f aca="false">AA415/P415</f>
        <v>-0.855127268105119</v>
      </c>
    </row>
    <row r="416" customFormat="false" ht="12.75" hidden="false" customHeight="false" outlineLevel="0" collapsed="false">
      <c r="A416" s="0" t="s">
        <v>486</v>
      </c>
      <c r="B416" s="0" t="n">
        <v>4</v>
      </c>
      <c r="C416" s="0" t="s">
        <v>31</v>
      </c>
      <c r="D416" s="0" t="s">
        <v>31</v>
      </c>
      <c r="E416" s="0" t="n">
        <v>777</v>
      </c>
      <c r="F416" s="0" t="n">
        <v>3798</v>
      </c>
      <c r="G416" s="0" t="n">
        <v>5</v>
      </c>
      <c r="H416" s="0" t="n">
        <v>9</v>
      </c>
      <c r="I416" s="0" t="n">
        <v>9</v>
      </c>
      <c r="J416" s="0" t="n">
        <v>12</v>
      </c>
      <c r="K416" s="0" t="n">
        <v>0.7</v>
      </c>
      <c r="L416" s="1" t="n">
        <v>3798</v>
      </c>
      <c r="M416" s="0" t="n">
        <v>0</v>
      </c>
      <c r="N416" s="0" t="n">
        <v>3798</v>
      </c>
      <c r="O416" s="0" t="n">
        <v>47010</v>
      </c>
      <c r="P416" s="1" t="n">
        <v>15.7</v>
      </c>
      <c r="Q416" s="0" t="n">
        <v>0</v>
      </c>
      <c r="R416" s="0" t="n">
        <v>2</v>
      </c>
      <c r="S416" s="0" t="s">
        <v>42</v>
      </c>
      <c r="T416" s="0" t="str">
        <f aca="false">IF(L416="inf","False","True")</f>
        <v>True</v>
      </c>
      <c r="U416" s="0" t="str">
        <f aca="false">IF(V416="inf","False","True")</f>
        <v>True</v>
      </c>
      <c r="V416" s="4" t="n">
        <v>46357.42</v>
      </c>
      <c r="W416" s="4" t="n">
        <v>43474.6</v>
      </c>
      <c r="X416" s="0" t="n">
        <v>58.52</v>
      </c>
      <c r="Y416" s="5" t="n">
        <f aca="false">V416-L416</f>
        <v>42559.42</v>
      </c>
      <c r="Z416" s="6" t="n">
        <f aca="false">Y416/L416</f>
        <v>11.2057451290153</v>
      </c>
      <c r="AA416" s="3" t="n">
        <f aca="false">X416-P416</f>
        <v>42.82</v>
      </c>
      <c r="AB416" s="6" t="n">
        <f aca="false">AA416/P416</f>
        <v>2.72738853503185</v>
      </c>
    </row>
    <row r="417" customFormat="false" ht="12.75" hidden="false" customHeight="false" outlineLevel="0" collapsed="false">
      <c r="A417" s="0" t="s">
        <v>487</v>
      </c>
      <c r="B417" s="0" t="n">
        <v>0</v>
      </c>
      <c r="C417" s="0" t="s">
        <v>31</v>
      </c>
      <c r="D417" s="0" t="s">
        <v>31</v>
      </c>
      <c r="E417" s="0" t="n">
        <v>1111</v>
      </c>
      <c r="F417" s="0" t="n">
        <v>5090</v>
      </c>
      <c r="G417" s="0" t="n">
        <v>5</v>
      </c>
      <c r="H417" s="0" t="n">
        <v>9</v>
      </c>
      <c r="I417" s="0" t="n">
        <v>9</v>
      </c>
      <c r="J417" s="0" t="n">
        <v>12</v>
      </c>
      <c r="K417" s="0" t="n">
        <v>0.7</v>
      </c>
      <c r="L417" s="1" t="n">
        <v>5090</v>
      </c>
      <c r="M417" s="0" t="n">
        <v>0</v>
      </c>
      <c r="N417" s="0" t="n">
        <v>5090</v>
      </c>
      <c r="O417" s="0" t="n">
        <v>69837</v>
      </c>
      <c r="P417" s="1" t="n">
        <v>12.58</v>
      </c>
      <c r="Q417" s="0" t="n">
        <v>0</v>
      </c>
      <c r="R417" s="0" t="n">
        <v>5</v>
      </c>
      <c r="S417" s="0" t="s">
        <v>42</v>
      </c>
      <c r="T417" s="0" t="str">
        <f aca="false">IF(L417="inf","False","True")</f>
        <v>True</v>
      </c>
      <c r="U417" s="0" t="str">
        <f aca="false">IF(V417="inf","False","True")</f>
        <v>True</v>
      </c>
      <c r="V417" s="4" t="n">
        <v>164414</v>
      </c>
      <c r="W417" s="4" t="n">
        <v>61070.13</v>
      </c>
      <c r="X417" s="0" t="n">
        <v>103.54</v>
      </c>
      <c r="Y417" s="5" t="n">
        <f aca="false">V417-L417</f>
        <v>159324</v>
      </c>
      <c r="Z417" s="6" t="n">
        <f aca="false">Y417/L417</f>
        <v>31.3013752455796</v>
      </c>
      <c r="AA417" s="3" t="n">
        <f aca="false">X417-P417</f>
        <v>90.96</v>
      </c>
      <c r="AB417" s="6" t="n">
        <f aca="false">AA417/P417</f>
        <v>7.23052464228935</v>
      </c>
    </row>
    <row r="418" customFormat="false" ht="12.75" hidden="false" customHeight="false" outlineLevel="0" collapsed="false">
      <c r="A418" s="0" t="s">
        <v>488</v>
      </c>
      <c r="B418" s="0" t="n">
        <v>1</v>
      </c>
      <c r="C418" s="0" t="s">
        <v>31</v>
      </c>
      <c r="D418" s="0" t="s">
        <v>31</v>
      </c>
      <c r="E418" s="0" t="n">
        <v>1111</v>
      </c>
      <c r="F418" s="0" t="n">
        <v>5441</v>
      </c>
      <c r="G418" s="0" t="n">
        <v>5</v>
      </c>
      <c r="H418" s="0" t="n">
        <v>9</v>
      </c>
      <c r="I418" s="0" t="n">
        <v>9</v>
      </c>
      <c r="J418" s="0" t="n">
        <v>12</v>
      </c>
      <c r="K418" s="0" t="n">
        <v>0.7</v>
      </c>
      <c r="L418" s="1" t="n">
        <v>5441</v>
      </c>
      <c r="M418" s="0" t="n">
        <v>0</v>
      </c>
      <c r="N418" s="0" t="n">
        <v>5441</v>
      </c>
      <c r="O418" s="0" t="n">
        <v>68761</v>
      </c>
      <c r="P418" s="1" t="n">
        <v>9.11</v>
      </c>
      <c r="Q418" s="0" t="n">
        <v>0</v>
      </c>
      <c r="R418" s="0" t="n">
        <v>5</v>
      </c>
      <c r="S418" s="0" t="s">
        <v>42</v>
      </c>
      <c r="T418" s="0" t="str">
        <f aca="false">IF(L418="inf","False","True")</f>
        <v>True</v>
      </c>
      <c r="U418" s="0" t="str">
        <f aca="false">IF(V418="inf","False","True")</f>
        <v>True</v>
      </c>
      <c r="V418" s="4" t="n">
        <v>123951.11</v>
      </c>
      <c r="W418" s="4" t="n">
        <v>61191.72</v>
      </c>
      <c r="X418" s="0" t="n">
        <v>1.19</v>
      </c>
      <c r="Y418" s="5" t="n">
        <f aca="false">V418-L418</f>
        <v>118510.11</v>
      </c>
      <c r="Z418" s="6" t="n">
        <f aca="false">Y418/L418</f>
        <v>21.7809428413895</v>
      </c>
      <c r="AA418" s="3" t="n">
        <f aca="false">X418-P418</f>
        <v>-7.92</v>
      </c>
      <c r="AB418" s="6" t="n">
        <f aca="false">AA418/P418</f>
        <v>-0.869374313940725</v>
      </c>
    </row>
    <row r="419" customFormat="false" ht="12.75" hidden="false" customHeight="false" outlineLevel="0" collapsed="false">
      <c r="A419" s="0" t="s">
        <v>489</v>
      </c>
      <c r="B419" s="0" t="n">
        <v>2</v>
      </c>
      <c r="C419" s="0" t="s">
        <v>31</v>
      </c>
      <c r="D419" s="0" t="s">
        <v>31</v>
      </c>
      <c r="E419" s="0" t="n">
        <v>1111</v>
      </c>
      <c r="F419" s="0" t="n">
        <v>5284</v>
      </c>
      <c r="G419" s="0" t="n">
        <v>5</v>
      </c>
      <c r="H419" s="0" t="n">
        <v>9</v>
      </c>
      <c r="I419" s="0" t="n">
        <v>9</v>
      </c>
      <c r="J419" s="0" t="n">
        <v>12</v>
      </c>
      <c r="K419" s="0" t="n">
        <v>0.7</v>
      </c>
      <c r="L419" s="1" t="n">
        <v>5284</v>
      </c>
      <c r="M419" s="0" t="n">
        <v>0</v>
      </c>
      <c r="N419" s="0" t="n">
        <v>5284</v>
      </c>
      <c r="O419" s="0" t="n">
        <v>68428</v>
      </c>
      <c r="P419" s="1" t="n">
        <v>15.7</v>
      </c>
      <c r="Q419" s="0" t="n">
        <v>0</v>
      </c>
      <c r="R419" s="0" t="n">
        <v>7</v>
      </c>
      <c r="S419" s="0" t="s">
        <v>42</v>
      </c>
      <c r="T419" s="0" t="str">
        <f aca="false">IF(L419="inf","False","True")</f>
        <v>True</v>
      </c>
      <c r="U419" s="0" t="str">
        <f aca="false">IF(V419="inf","False","True")</f>
        <v>True</v>
      </c>
      <c r="V419" s="4" t="n">
        <v>243983.52</v>
      </c>
      <c r="W419" s="4" t="n">
        <v>57380.51</v>
      </c>
      <c r="X419" s="0" t="n">
        <v>35.7</v>
      </c>
      <c r="Y419" s="5" t="n">
        <f aca="false">V419-L419</f>
        <v>238699.52</v>
      </c>
      <c r="Z419" s="6" t="n">
        <f aca="false">Y419/L419</f>
        <v>45.1740196820591</v>
      </c>
      <c r="AA419" s="3" t="n">
        <f aca="false">X419-P419</f>
        <v>20</v>
      </c>
      <c r="AB419" s="6" t="n">
        <f aca="false">AA419/P419</f>
        <v>1.27388535031847</v>
      </c>
    </row>
    <row r="420" customFormat="false" ht="12.75" hidden="false" customHeight="false" outlineLevel="0" collapsed="false">
      <c r="A420" s="0" t="s">
        <v>490</v>
      </c>
      <c r="B420" s="0" t="n">
        <v>3</v>
      </c>
      <c r="C420" s="0" t="s">
        <v>31</v>
      </c>
      <c r="D420" s="0" t="s">
        <v>31</v>
      </c>
      <c r="E420" s="0" t="n">
        <v>1111</v>
      </c>
      <c r="F420" s="0" t="n">
        <v>5225</v>
      </c>
      <c r="G420" s="0" t="n">
        <v>5</v>
      </c>
      <c r="H420" s="0" t="n">
        <v>9</v>
      </c>
      <c r="I420" s="0" t="n">
        <v>9</v>
      </c>
      <c r="J420" s="0" t="n">
        <v>12</v>
      </c>
      <c r="K420" s="0" t="n">
        <v>0.7</v>
      </c>
      <c r="L420" s="1" t="n">
        <v>237238</v>
      </c>
      <c r="M420" s="0" t="n">
        <v>232559.12</v>
      </c>
      <c r="N420" s="0" t="n">
        <v>4678.87</v>
      </c>
      <c r="O420" s="0" t="n">
        <v>58844.08</v>
      </c>
      <c r="P420" s="1" t="n">
        <v>600.22</v>
      </c>
      <c r="Q420" s="0" t="n">
        <v>0</v>
      </c>
      <c r="R420" s="0" t="n">
        <v>6</v>
      </c>
      <c r="S420" s="0" t="s">
        <v>32</v>
      </c>
      <c r="T420" s="0" t="str">
        <f aca="false">IF(L420="inf","False","True")</f>
        <v>True</v>
      </c>
      <c r="U420" s="0" t="str">
        <f aca="false">IF(V420="inf","False","True")</f>
        <v>True</v>
      </c>
      <c r="V420" s="4" t="n">
        <v>183804.96</v>
      </c>
      <c r="W420" s="4" t="n">
        <v>59069.65</v>
      </c>
      <c r="X420" s="0" t="n">
        <v>144.93</v>
      </c>
      <c r="Y420" s="5" t="n">
        <f aca="false">V420-L420</f>
        <v>-53433.04</v>
      </c>
      <c r="Z420" s="6" t="n">
        <f aca="false">Y420/L420</f>
        <v>-0.225229684957722</v>
      </c>
      <c r="AA420" s="3" t="n">
        <f aca="false">X420-P420</f>
        <v>-455.29</v>
      </c>
      <c r="AB420" s="6" t="n">
        <f aca="false">AA420/P420</f>
        <v>-0.758538535870181</v>
      </c>
    </row>
    <row r="421" customFormat="false" ht="12.75" hidden="false" customHeight="false" outlineLevel="0" collapsed="false">
      <c r="A421" s="0" t="s">
        <v>491</v>
      </c>
      <c r="B421" s="0" t="n">
        <v>4</v>
      </c>
      <c r="C421" s="0" t="s">
        <v>31</v>
      </c>
      <c r="D421" s="0" t="s">
        <v>31</v>
      </c>
      <c r="E421" s="0" t="n">
        <v>1111</v>
      </c>
      <c r="F421" s="0" t="n">
        <v>5432</v>
      </c>
      <c r="G421" s="0" t="n">
        <v>5</v>
      </c>
      <c r="H421" s="0" t="n">
        <v>9</v>
      </c>
      <c r="I421" s="0" t="n">
        <v>9</v>
      </c>
      <c r="J421" s="0" t="n">
        <v>12</v>
      </c>
      <c r="K421" s="0" t="n">
        <v>0.7</v>
      </c>
      <c r="L421" s="1" t="n">
        <v>5432</v>
      </c>
      <c r="M421" s="0" t="n">
        <v>0</v>
      </c>
      <c r="N421" s="0" t="n">
        <v>5432</v>
      </c>
      <c r="O421" s="0" t="n">
        <v>67414</v>
      </c>
      <c r="P421" s="1" t="n">
        <v>17.85</v>
      </c>
      <c r="Q421" s="0" t="n">
        <v>0</v>
      </c>
      <c r="R421" s="0" t="n">
        <v>10</v>
      </c>
      <c r="S421" s="0" t="s">
        <v>42</v>
      </c>
      <c r="T421" s="0" t="str">
        <f aca="false">IF(L421="inf","False","True")</f>
        <v>True</v>
      </c>
      <c r="U421" s="0" t="str">
        <f aca="false">IF(V421="inf","False","True")</f>
        <v>True</v>
      </c>
      <c r="V421" s="4" t="n">
        <v>210467.35</v>
      </c>
      <c r="W421" s="4" t="n">
        <v>58710.18</v>
      </c>
      <c r="X421" s="0" t="n">
        <v>263.53</v>
      </c>
      <c r="Y421" s="5" t="n">
        <f aca="false">V421-L421</f>
        <v>205035.35</v>
      </c>
      <c r="Z421" s="6" t="n">
        <f aca="false">Y421/L421</f>
        <v>37.7458302650957</v>
      </c>
      <c r="AA421" s="3" t="n">
        <f aca="false">X421-P421</f>
        <v>245.68</v>
      </c>
      <c r="AB421" s="6" t="n">
        <f aca="false">AA421/P421</f>
        <v>13.7635854341737</v>
      </c>
    </row>
    <row r="422" customFormat="false" ht="12.75" hidden="false" customHeight="false" outlineLevel="0" collapsed="false">
      <c r="A422" s="0" t="s">
        <v>492</v>
      </c>
      <c r="B422" s="0" t="n">
        <v>0</v>
      </c>
      <c r="C422" s="0" t="s">
        <v>31</v>
      </c>
      <c r="D422" s="0" t="s">
        <v>31</v>
      </c>
      <c r="E422" s="0" t="n">
        <v>333</v>
      </c>
      <c r="F422" s="0" t="n">
        <v>602</v>
      </c>
      <c r="G422" s="0" t="n">
        <v>10</v>
      </c>
      <c r="H422" s="0" t="n">
        <v>9</v>
      </c>
      <c r="I422" s="0" t="n">
        <v>9</v>
      </c>
      <c r="J422" s="0" t="n">
        <v>4</v>
      </c>
      <c r="K422" s="0" t="n">
        <v>0.7</v>
      </c>
      <c r="L422" s="1" t="n">
        <v>12232.3</v>
      </c>
      <c r="M422" s="0" t="n">
        <v>11641.67</v>
      </c>
      <c r="N422" s="0" t="n">
        <v>590.63</v>
      </c>
      <c r="O422" s="0" t="n">
        <v>40213.36</v>
      </c>
      <c r="P422" s="1" t="n">
        <v>33.16</v>
      </c>
      <c r="Q422" s="0" t="n">
        <v>0</v>
      </c>
      <c r="R422" s="0" t="n">
        <v>7</v>
      </c>
      <c r="S422" s="0" t="s">
        <v>493</v>
      </c>
      <c r="T422" s="0" t="str">
        <f aca="false">IF(L422="inf","False","True")</f>
        <v>True</v>
      </c>
      <c r="U422" s="0" t="str">
        <f aca="false">IF(V422="inf","False","True")</f>
        <v>False</v>
      </c>
      <c r="V422" s="4" t="s">
        <v>37</v>
      </c>
      <c r="W422" s="4" t="s">
        <v>37</v>
      </c>
      <c r="X422" s="0" t="n">
        <v>19.58</v>
      </c>
      <c r="Y422" s="5" t="e">
        <f aca="false">V422-L422</f>
        <v>#VALUE!</v>
      </c>
      <c r="Z422" s="6" t="e">
        <f aca="false">Y422/L422</f>
        <v>#VALUE!</v>
      </c>
      <c r="AA422" s="3" t="n">
        <f aca="false">X422-P422</f>
        <v>-13.58</v>
      </c>
      <c r="AB422" s="6" t="n">
        <f aca="false">AA422/P422</f>
        <v>-0.409529553679131</v>
      </c>
    </row>
    <row r="423" customFormat="false" ht="12.75" hidden="false" customHeight="false" outlineLevel="0" collapsed="false">
      <c r="A423" s="0" t="s">
        <v>494</v>
      </c>
      <c r="B423" s="0" t="n">
        <v>1</v>
      </c>
      <c r="C423" s="0" t="s">
        <v>31</v>
      </c>
      <c r="D423" s="0" t="s">
        <v>31</v>
      </c>
      <c r="E423" s="0" t="n">
        <v>333</v>
      </c>
      <c r="F423" s="0" t="n">
        <v>672</v>
      </c>
      <c r="G423" s="0" t="n">
        <v>10</v>
      </c>
      <c r="H423" s="0" t="n">
        <v>9</v>
      </c>
      <c r="I423" s="0" t="n">
        <v>9</v>
      </c>
      <c r="J423" s="0" t="n">
        <v>4</v>
      </c>
      <c r="K423" s="0" t="n">
        <v>0.7</v>
      </c>
      <c r="L423" s="1" t="n">
        <v>146431.75</v>
      </c>
      <c r="M423" s="0" t="n">
        <v>145809.46</v>
      </c>
      <c r="N423" s="0" t="n">
        <v>622.29</v>
      </c>
      <c r="O423" s="0" t="n">
        <v>40692.95</v>
      </c>
      <c r="P423" s="1" t="n">
        <v>51.72</v>
      </c>
      <c r="Q423" s="0" t="n">
        <v>0</v>
      </c>
      <c r="R423" s="0" t="n">
        <v>9</v>
      </c>
      <c r="S423" s="0" t="s">
        <v>32</v>
      </c>
      <c r="T423" s="0" t="str">
        <f aca="false">IF(L423="inf","False","True")</f>
        <v>True</v>
      </c>
      <c r="U423" s="0" t="str">
        <f aca="false">IF(V423="inf","False","True")</f>
        <v>False</v>
      </c>
      <c r="V423" s="4" t="s">
        <v>37</v>
      </c>
      <c r="W423" s="4" t="s">
        <v>37</v>
      </c>
      <c r="X423" s="0" t="n">
        <v>25.61</v>
      </c>
      <c r="Y423" s="5" t="e">
        <f aca="false">V423-L423</f>
        <v>#VALUE!</v>
      </c>
      <c r="Z423" s="6" t="e">
        <f aca="false">Y423/L423</f>
        <v>#VALUE!</v>
      </c>
      <c r="AA423" s="3" t="n">
        <f aca="false">X423-P423</f>
        <v>-26.11</v>
      </c>
      <c r="AB423" s="6" t="n">
        <f aca="false">AA423/P423</f>
        <v>-0.504833720030936</v>
      </c>
    </row>
    <row r="424" customFormat="false" ht="12.75" hidden="false" customHeight="false" outlineLevel="0" collapsed="false">
      <c r="A424" s="0" t="s">
        <v>495</v>
      </c>
      <c r="B424" s="0" t="n">
        <v>2</v>
      </c>
      <c r="C424" s="0" t="s">
        <v>31</v>
      </c>
      <c r="D424" s="0" t="s">
        <v>31</v>
      </c>
      <c r="E424" s="0" t="n">
        <v>333</v>
      </c>
      <c r="F424" s="0" t="n">
        <v>626</v>
      </c>
      <c r="G424" s="0" t="n">
        <v>10</v>
      </c>
      <c r="H424" s="0" t="n">
        <v>9</v>
      </c>
      <c r="I424" s="0" t="n">
        <v>9</v>
      </c>
      <c r="J424" s="0" t="n">
        <v>4</v>
      </c>
      <c r="K424" s="0" t="n">
        <v>0.7</v>
      </c>
      <c r="L424" s="1" t="n">
        <v>86291.55</v>
      </c>
      <c r="M424" s="0" t="n">
        <v>85694.84</v>
      </c>
      <c r="N424" s="0" t="n">
        <v>596.72</v>
      </c>
      <c r="O424" s="0" t="n">
        <v>38747.84</v>
      </c>
      <c r="P424" s="1" t="n">
        <v>36.41</v>
      </c>
      <c r="Q424" s="0" t="n">
        <v>0</v>
      </c>
      <c r="R424" s="0" t="n">
        <v>7</v>
      </c>
      <c r="S424" s="0" t="s">
        <v>496</v>
      </c>
      <c r="T424" s="0" t="str">
        <f aca="false">IF(L424="inf","False","True")</f>
        <v>True</v>
      </c>
      <c r="U424" s="0" t="str">
        <f aca="false">IF(V424="inf","False","True")</f>
        <v>False</v>
      </c>
      <c r="V424" s="4" t="s">
        <v>37</v>
      </c>
      <c r="W424" s="4" t="s">
        <v>37</v>
      </c>
      <c r="X424" s="0" t="n">
        <v>20.86</v>
      </c>
      <c r="Y424" s="5" t="e">
        <f aca="false">V424-L424</f>
        <v>#VALUE!</v>
      </c>
      <c r="Z424" s="6" t="e">
        <f aca="false">Y424/L424</f>
        <v>#VALUE!</v>
      </c>
      <c r="AA424" s="3" t="n">
        <f aca="false">X424-P424</f>
        <v>-15.55</v>
      </c>
      <c r="AB424" s="6" t="n">
        <f aca="false">AA424/P424</f>
        <v>-0.427080472397693</v>
      </c>
    </row>
    <row r="425" customFormat="false" ht="12.75" hidden="false" customHeight="false" outlineLevel="0" collapsed="false">
      <c r="A425" s="0" t="s">
        <v>497</v>
      </c>
      <c r="B425" s="0" t="n">
        <v>3</v>
      </c>
      <c r="C425" s="0" t="s">
        <v>31</v>
      </c>
      <c r="D425" s="0" t="s">
        <v>31</v>
      </c>
      <c r="E425" s="0" t="n">
        <v>333</v>
      </c>
      <c r="F425" s="0" t="n">
        <v>617</v>
      </c>
      <c r="G425" s="0" t="n">
        <v>10</v>
      </c>
      <c r="H425" s="0" t="n">
        <v>9</v>
      </c>
      <c r="I425" s="0" t="n">
        <v>9</v>
      </c>
      <c r="J425" s="0" t="n">
        <v>4</v>
      </c>
      <c r="K425" s="0" t="n">
        <v>0.7</v>
      </c>
      <c r="L425" s="1" t="n">
        <v>80809.99</v>
      </c>
      <c r="M425" s="0" t="n">
        <v>80204.37</v>
      </c>
      <c r="N425" s="0" t="n">
        <v>605.62</v>
      </c>
      <c r="O425" s="0" t="n">
        <v>36170.82</v>
      </c>
      <c r="P425" s="1" t="n">
        <v>55.02</v>
      </c>
      <c r="Q425" s="0" t="n">
        <v>0</v>
      </c>
      <c r="R425" s="0" t="n">
        <v>5</v>
      </c>
      <c r="S425" s="0" t="s">
        <v>32</v>
      </c>
      <c r="T425" s="0" t="str">
        <f aca="false">IF(L425="inf","False","True")</f>
        <v>True</v>
      </c>
      <c r="U425" s="0" t="str">
        <f aca="false">IF(V425="inf","False","True")</f>
        <v>False</v>
      </c>
      <c r="V425" s="4" t="s">
        <v>37</v>
      </c>
      <c r="W425" s="4" t="s">
        <v>37</v>
      </c>
      <c r="X425" s="0" t="n">
        <v>15.91</v>
      </c>
      <c r="Y425" s="5" t="e">
        <f aca="false">V425-L425</f>
        <v>#VALUE!</v>
      </c>
      <c r="Z425" s="6" t="e">
        <f aca="false">Y425/L425</f>
        <v>#VALUE!</v>
      </c>
      <c r="AA425" s="3" t="n">
        <f aca="false">X425-P425</f>
        <v>-39.11</v>
      </c>
      <c r="AB425" s="6" t="n">
        <f aca="false">AA425/P425</f>
        <v>-0.710832424572883</v>
      </c>
    </row>
    <row r="426" customFormat="false" ht="12.75" hidden="false" customHeight="false" outlineLevel="0" collapsed="false">
      <c r="A426" s="0" t="s">
        <v>498</v>
      </c>
      <c r="B426" s="0" t="n">
        <v>4</v>
      </c>
      <c r="C426" s="0" t="s">
        <v>31</v>
      </c>
      <c r="D426" s="0" t="s">
        <v>31</v>
      </c>
      <c r="E426" s="0" t="n">
        <v>333</v>
      </c>
      <c r="F426" s="0" t="n">
        <v>659</v>
      </c>
      <c r="G426" s="0" t="n">
        <v>10</v>
      </c>
      <c r="H426" s="0" t="n">
        <v>9</v>
      </c>
      <c r="I426" s="0" t="n">
        <v>9</v>
      </c>
      <c r="J426" s="0" t="n">
        <v>4</v>
      </c>
      <c r="K426" s="0" t="n">
        <v>0.7</v>
      </c>
      <c r="L426" s="1" t="n">
        <v>659</v>
      </c>
      <c r="M426" s="0" t="n">
        <v>0</v>
      </c>
      <c r="N426" s="0" t="n">
        <v>659</v>
      </c>
      <c r="O426" s="0" t="n">
        <v>38859</v>
      </c>
      <c r="P426" s="1" t="n">
        <v>7.47</v>
      </c>
      <c r="Q426" s="0" t="n">
        <v>0</v>
      </c>
      <c r="R426" s="0" t="n">
        <v>1</v>
      </c>
      <c r="S426" s="0" t="s">
        <v>42</v>
      </c>
      <c r="T426" s="0" t="str">
        <f aca="false">IF(L426="inf","False","True")</f>
        <v>True</v>
      </c>
      <c r="U426" s="0" t="str">
        <f aca="false">IF(V426="inf","False","True")</f>
        <v>True</v>
      </c>
      <c r="V426" s="4" t="n">
        <v>65709.12</v>
      </c>
      <c r="W426" s="4" t="n">
        <v>38392.1</v>
      </c>
      <c r="X426" s="0" t="n">
        <v>24.49</v>
      </c>
      <c r="Y426" s="5" t="n">
        <f aca="false">V426-L426</f>
        <v>65050.12</v>
      </c>
      <c r="Z426" s="6" t="n">
        <f aca="false">Y426/L426</f>
        <v>98.7103490136571</v>
      </c>
      <c r="AA426" s="3" t="n">
        <f aca="false">X426-P426</f>
        <v>17.02</v>
      </c>
      <c r="AB426" s="6" t="n">
        <f aca="false">AA426/P426</f>
        <v>2.27844712182062</v>
      </c>
    </row>
    <row r="427" customFormat="false" ht="12.75" hidden="false" customHeight="false" outlineLevel="0" collapsed="false">
      <c r="A427" s="0" t="s">
        <v>499</v>
      </c>
      <c r="B427" s="0" t="n">
        <v>0</v>
      </c>
      <c r="C427" s="0" t="s">
        <v>31</v>
      </c>
      <c r="D427" s="0" t="s">
        <v>31</v>
      </c>
      <c r="E427" s="0" t="n">
        <v>555</v>
      </c>
      <c r="F427" s="0" t="n">
        <v>1008</v>
      </c>
      <c r="G427" s="0" t="n">
        <v>10</v>
      </c>
      <c r="H427" s="0" t="n">
        <v>9</v>
      </c>
      <c r="I427" s="0" t="n">
        <v>9</v>
      </c>
      <c r="J427" s="0" t="n">
        <v>4</v>
      </c>
      <c r="K427" s="0" t="n">
        <v>0.7</v>
      </c>
      <c r="L427" s="1" t="n">
        <v>27986.35</v>
      </c>
      <c r="M427" s="0" t="n">
        <v>26996.25</v>
      </c>
      <c r="N427" s="0" t="n">
        <v>990.1</v>
      </c>
      <c r="O427" s="0" t="n">
        <v>67095.97</v>
      </c>
      <c r="P427" s="1" t="n">
        <v>29.49</v>
      </c>
      <c r="Q427" s="0" t="n">
        <v>0</v>
      </c>
      <c r="R427" s="0" t="n">
        <v>8</v>
      </c>
      <c r="S427" s="0" t="s">
        <v>500</v>
      </c>
      <c r="T427" s="0" t="str">
        <f aca="false">IF(L427="inf","False","True")</f>
        <v>True</v>
      </c>
      <c r="U427" s="0" t="str">
        <f aca="false">IF(V427="inf","False","True")</f>
        <v>False</v>
      </c>
      <c r="V427" s="4" t="s">
        <v>37</v>
      </c>
      <c r="W427" s="4" t="s">
        <v>37</v>
      </c>
      <c r="X427" s="0" t="n">
        <v>22.29</v>
      </c>
      <c r="Y427" s="5" t="e">
        <f aca="false">V427-L427</f>
        <v>#VALUE!</v>
      </c>
      <c r="Z427" s="6" t="e">
        <f aca="false">Y427/L427</f>
        <v>#VALUE!</v>
      </c>
      <c r="AA427" s="3" t="n">
        <f aca="false">X427-P427</f>
        <v>-7.2</v>
      </c>
      <c r="AB427" s="6" t="n">
        <f aca="false">AA427/P427</f>
        <v>-0.244150559511699</v>
      </c>
    </row>
    <row r="428" customFormat="false" ht="12.75" hidden="false" customHeight="false" outlineLevel="0" collapsed="false">
      <c r="A428" s="0" t="s">
        <v>501</v>
      </c>
      <c r="B428" s="0" t="n">
        <v>1</v>
      </c>
      <c r="C428" s="0" t="s">
        <v>31</v>
      </c>
      <c r="D428" s="0" t="s">
        <v>31</v>
      </c>
      <c r="E428" s="0" t="n">
        <v>555</v>
      </c>
      <c r="F428" s="0" t="n">
        <v>1127</v>
      </c>
      <c r="G428" s="0" t="n">
        <v>10</v>
      </c>
      <c r="H428" s="0" t="n">
        <v>9</v>
      </c>
      <c r="I428" s="0" t="n">
        <v>9</v>
      </c>
      <c r="J428" s="0" t="n">
        <v>4</v>
      </c>
      <c r="K428" s="0" t="n">
        <v>0.7</v>
      </c>
      <c r="L428" s="1" t="n">
        <v>6557.04</v>
      </c>
      <c r="M428" s="0" t="n">
        <v>5439.51</v>
      </c>
      <c r="N428" s="0" t="n">
        <v>1117.53</v>
      </c>
      <c r="O428" s="0" t="n">
        <v>69436.75</v>
      </c>
      <c r="P428" s="1" t="n">
        <v>20.94</v>
      </c>
      <c r="Q428" s="0" t="n">
        <v>0</v>
      </c>
      <c r="R428" s="0" t="n">
        <v>5</v>
      </c>
      <c r="S428" s="0" t="s">
        <v>502</v>
      </c>
      <c r="T428" s="0" t="str">
        <f aca="false">IF(L428="inf","False","True")</f>
        <v>True</v>
      </c>
      <c r="U428" s="0" t="str">
        <f aca="false">IF(V428="inf","False","True")</f>
        <v>True</v>
      </c>
      <c r="V428" s="4" t="n">
        <v>238941.55</v>
      </c>
      <c r="W428" s="4" t="n">
        <v>66925.83</v>
      </c>
      <c r="X428" s="0" t="n">
        <v>22.23</v>
      </c>
      <c r="Y428" s="5" t="n">
        <f aca="false">V428-L428</f>
        <v>232384.51</v>
      </c>
      <c r="Z428" s="6" t="n">
        <f aca="false">Y428/L428</f>
        <v>35.4404594146139</v>
      </c>
      <c r="AA428" s="3" t="n">
        <f aca="false">X428-P428</f>
        <v>1.29</v>
      </c>
      <c r="AB428" s="6" t="n">
        <f aca="false">AA428/P428</f>
        <v>0.0616045845272206</v>
      </c>
    </row>
    <row r="429" customFormat="false" ht="12.75" hidden="false" customHeight="false" outlineLevel="0" collapsed="false">
      <c r="A429" s="0" t="s">
        <v>503</v>
      </c>
      <c r="B429" s="0" t="n">
        <v>2</v>
      </c>
      <c r="C429" s="0" t="s">
        <v>31</v>
      </c>
      <c r="D429" s="0" t="s">
        <v>31</v>
      </c>
      <c r="E429" s="0" t="n">
        <v>555</v>
      </c>
      <c r="F429" s="0" t="n">
        <v>1048</v>
      </c>
      <c r="G429" s="0" t="n">
        <v>10</v>
      </c>
      <c r="H429" s="0" t="n">
        <v>9</v>
      </c>
      <c r="I429" s="0" t="n">
        <v>9</v>
      </c>
      <c r="J429" s="0" t="n">
        <v>4</v>
      </c>
      <c r="K429" s="0" t="n">
        <v>0.7</v>
      </c>
      <c r="L429" s="1" t="n">
        <v>194076.61</v>
      </c>
      <c r="M429" s="0" t="n">
        <v>193089.18</v>
      </c>
      <c r="N429" s="0" t="n">
        <v>987.43</v>
      </c>
      <c r="O429" s="0" t="n">
        <v>64392.85</v>
      </c>
      <c r="P429" s="1" t="n">
        <v>57.25</v>
      </c>
      <c r="Q429" s="0" t="n">
        <v>0</v>
      </c>
      <c r="R429" s="0" t="n">
        <v>16</v>
      </c>
      <c r="S429" s="0" t="s">
        <v>32</v>
      </c>
      <c r="T429" s="0" t="str">
        <f aca="false">IF(L429="inf","False","True")</f>
        <v>True</v>
      </c>
      <c r="U429" s="0" t="str">
        <f aca="false">IF(V429="inf","False","True")</f>
        <v>False</v>
      </c>
      <c r="V429" s="4" t="s">
        <v>37</v>
      </c>
      <c r="W429" s="4" t="s">
        <v>37</v>
      </c>
      <c r="X429" s="0" t="n">
        <v>19.1</v>
      </c>
      <c r="Y429" s="5" t="e">
        <f aca="false">V429-L429</f>
        <v>#VALUE!</v>
      </c>
      <c r="Z429" s="6" t="e">
        <f aca="false">Y429/L429</f>
        <v>#VALUE!</v>
      </c>
      <c r="AA429" s="3" t="n">
        <f aca="false">X429-P429</f>
        <v>-38.15</v>
      </c>
      <c r="AB429" s="6" t="n">
        <f aca="false">AA429/P429</f>
        <v>-0.666375545851528</v>
      </c>
    </row>
    <row r="430" customFormat="false" ht="12.75" hidden="false" customHeight="false" outlineLevel="0" collapsed="false">
      <c r="A430" s="0" t="s">
        <v>504</v>
      </c>
      <c r="B430" s="0" t="n">
        <v>3</v>
      </c>
      <c r="C430" s="0" t="s">
        <v>31</v>
      </c>
      <c r="D430" s="0" t="s">
        <v>31</v>
      </c>
      <c r="E430" s="0" t="n">
        <v>555</v>
      </c>
      <c r="F430" s="0" t="n">
        <v>1034</v>
      </c>
      <c r="G430" s="0" t="n">
        <v>10</v>
      </c>
      <c r="H430" s="0" t="n">
        <v>9</v>
      </c>
      <c r="I430" s="0" t="n">
        <v>9</v>
      </c>
      <c r="J430" s="0" t="n">
        <v>4</v>
      </c>
      <c r="K430" s="0" t="n">
        <v>0.7</v>
      </c>
      <c r="L430" s="1" t="n">
        <v>135863.87</v>
      </c>
      <c r="M430" s="0" t="n">
        <v>134852.89</v>
      </c>
      <c r="N430" s="0" t="n">
        <v>1010.98</v>
      </c>
      <c r="O430" s="0" t="n">
        <v>60275.65</v>
      </c>
      <c r="P430" s="1" t="n">
        <v>103.05</v>
      </c>
      <c r="Q430" s="0" t="n">
        <v>0</v>
      </c>
      <c r="R430" s="0" t="n">
        <v>5</v>
      </c>
      <c r="S430" s="0" t="s">
        <v>32</v>
      </c>
      <c r="T430" s="0" t="str">
        <f aca="false">IF(L430="inf","False","True")</f>
        <v>True</v>
      </c>
      <c r="U430" s="0" t="str">
        <f aca="false">IF(V430="inf","False","True")</f>
        <v>False</v>
      </c>
      <c r="V430" s="4" t="s">
        <v>37</v>
      </c>
      <c r="W430" s="4" t="s">
        <v>37</v>
      </c>
      <c r="X430" s="0" t="n">
        <v>15.77</v>
      </c>
      <c r="Y430" s="5" t="e">
        <f aca="false">V430-L430</f>
        <v>#VALUE!</v>
      </c>
      <c r="Z430" s="6" t="e">
        <f aca="false">Y430/L430</f>
        <v>#VALUE!</v>
      </c>
      <c r="AA430" s="3" t="n">
        <f aca="false">X430-P430</f>
        <v>-87.28</v>
      </c>
      <c r="AB430" s="6" t="n">
        <f aca="false">AA430/P430</f>
        <v>-0.846967491508976</v>
      </c>
    </row>
    <row r="431" customFormat="false" ht="12.75" hidden="false" customHeight="false" outlineLevel="0" collapsed="false">
      <c r="A431" s="0" t="s">
        <v>505</v>
      </c>
      <c r="B431" s="0" t="n">
        <v>4</v>
      </c>
      <c r="C431" s="0" t="s">
        <v>31</v>
      </c>
      <c r="D431" s="0" t="s">
        <v>31</v>
      </c>
      <c r="E431" s="0" t="n">
        <v>555</v>
      </c>
      <c r="F431" s="0" t="n">
        <v>1105</v>
      </c>
      <c r="G431" s="0" t="n">
        <v>10</v>
      </c>
      <c r="H431" s="0" t="n">
        <v>9</v>
      </c>
      <c r="I431" s="0" t="n">
        <v>9</v>
      </c>
      <c r="J431" s="0" t="n">
        <v>4</v>
      </c>
      <c r="K431" s="0" t="n">
        <v>0.7</v>
      </c>
      <c r="L431" s="1" t="n">
        <v>1105</v>
      </c>
      <c r="M431" s="0" t="n">
        <v>0</v>
      </c>
      <c r="N431" s="0" t="n">
        <v>1105</v>
      </c>
      <c r="O431" s="0" t="n">
        <v>64742</v>
      </c>
      <c r="P431" s="1" t="n">
        <v>10.48</v>
      </c>
      <c r="Q431" s="0" t="n">
        <v>0</v>
      </c>
      <c r="R431" s="0" t="n">
        <v>5</v>
      </c>
      <c r="S431" s="0" t="s">
        <v>42</v>
      </c>
      <c r="T431" s="0" t="str">
        <f aca="false">IF(L431="inf","False","True")</f>
        <v>True</v>
      </c>
      <c r="U431" s="0" t="str">
        <f aca="false">IF(V431="inf","False","True")</f>
        <v>False</v>
      </c>
      <c r="V431" s="4" t="s">
        <v>37</v>
      </c>
      <c r="W431" s="4" t="s">
        <v>37</v>
      </c>
      <c r="X431" s="0" t="n">
        <v>22.34</v>
      </c>
      <c r="Y431" s="5" t="e">
        <f aca="false">V431-L431</f>
        <v>#VALUE!</v>
      </c>
      <c r="Z431" s="6" t="e">
        <f aca="false">Y431/L431</f>
        <v>#VALUE!</v>
      </c>
      <c r="AA431" s="3" t="n">
        <f aca="false">X431-P431</f>
        <v>11.86</v>
      </c>
      <c r="AB431" s="6" t="n">
        <f aca="false">AA431/P431</f>
        <v>1.13167938931298</v>
      </c>
    </row>
    <row r="432" customFormat="false" ht="12.75" hidden="false" customHeight="false" outlineLevel="0" collapsed="false">
      <c r="A432" s="0" t="s">
        <v>506</v>
      </c>
      <c r="B432" s="0" t="n">
        <v>0</v>
      </c>
      <c r="C432" s="0" t="s">
        <v>31</v>
      </c>
      <c r="D432" s="0" t="s">
        <v>31</v>
      </c>
      <c r="E432" s="0" t="n">
        <v>777</v>
      </c>
      <c r="F432" s="0" t="n">
        <v>1416</v>
      </c>
      <c r="G432" s="0" t="n">
        <v>10</v>
      </c>
      <c r="H432" s="0" t="n">
        <v>9</v>
      </c>
      <c r="I432" s="0" t="n">
        <v>9</v>
      </c>
      <c r="J432" s="0" t="n">
        <v>4</v>
      </c>
      <c r="K432" s="0" t="n">
        <v>0.7</v>
      </c>
      <c r="L432" s="1" t="n">
        <v>63752.48</v>
      </c>
      <c r="M432" s="0" t="n">
        <v>62350.72</v>
      </c>
      <c r="N432" s="0" t="n">
        <v>1401.76</v>
      </c>
      <c r="O432" s="0" t="n">
        <v>92708.59</v>
      </c>
      <c r="P432" s="1" t="n">
        <v>31.27</v>
      </c>
      <c r="Q432" s="0" t="n">
        <v>0</v>
      </c>
      <c r="R432" s="0" t="n">
        <v>8</v>
      </c>
      <c r="S432" s="0" t="s">
        <v>507</v>
      </c>
      <c r="T432" s="0" t="str">
        <f aca="false">IF(L432="inf","False","True")</f>
        <v>True</v>
      </c>
      <c r="U432" s="0" t="str">
        <f aca="false">IF(V432="inf","False","True")</f>
        <v>False</v>
      </c>
      <c r="V432" s="4" t="s">
        <v>37</v>
      </c>
      <c r="W432" s="4" t="s">
        <v>37</v>
      </c>
      <c r="X432" s="0" t="n">
        <v>21.64</v>
      </c>
      <c r="Y432" s="5" t="e">
        <f aca="false">V432-L432</f>
        <v>#VALUE!</v>
      </c>
      <c r="Z432" s="6" t="e">
        <f aca="false">Y432/L432</f>
        <v>#VALUE!</v>
      </c>
      <c r="AA432" s="3" t="n">
        <f aca="false">X432-P432</f>
        <v>-9.63</v>
      </c>
      <c r="AB432" s="6" t="n">
        <f aca="false">AA432/P432</f>
        <v>-0.307962903741605</v>
      </c>
    </row>
    <row r="433" customFormat="false" ht="12.75" hidden="false" customHeight="false" outlineLevel="0" collapsed="false">
      <c r="A433" s="0" t="s">
        <v>508</v>
      </c>
      <c r="B433" s="0" t="n">
        <v>1</v>
      </c>
      <c r="C433" s="0" t="s">
        <v>31</v>
      </c>
      <c r="D433" s="0" t="s">
        <v>31</v>
      </c>
      <c r="E433" s="0" t="n">
        <v>777</v>
      </c>
      <c r="F433" s="0" t="n">
        <v>1581</v>
      </c>
      <c r="G433" s="0" t="n">
        <v>10</v>
      </c>
      <c r="H433" s="0" t="n">
        <v>9</v>
      </c>
      <c r="I433" s="0" t="n">
        <v>9</v>
      </c>
      <c r="J433" s="0" t="n">
        <v>4</v>
      </c>
      <c r="K433" s="0" t="n">
        <v>0.7</v>
      </c>
      <c r="L433" s="1" t="n">
        <v>342901.52</v>
      </c>
      <c r="M433" s="0" t="n">
        <v>341437.09</v>
      </c>
      <c r="N433" s="0" t="n">
        <v>1464.43</v>
      </c>
      <c r="O433" s="0" t="n">
        <v>87712.57</v>
      </c>
      <c r="P433" s="1" t="n">
        <v>164.38</v>
      </c>
      <c r="Q433" s="0" t="n">
        <v>0</v>
      </c>
      <c r="R433" s="0" t="n">
        <v>17</v>
      </c>
      <c r="S433" s="0" t="s">
        <v>32</v>
      </c>
      <c r="T433" s="0" t="str">
        <f aca="false">IF(L433="inf","False","True")</f>
        <v>True</v>
      </c>
      <c r="U433" s="0" t="str">
        <f aca="false">IF(V433="inf","False","True")</f>
        <v>False</v>
      </c>
      <c r="V433" s="4" t="s">
        <v>37</v>
      </c>
      <c r="W433" s="4" t="s">
        <v>37</v>
      </c>
      <c r="X433" s="0" t="n">
        <v>34.28</v>
      </c>
      <c r="Y433" s="5" t="e">
        <f aca="false">V433-L433</f>
        <v>#VALUE!</v>
      </c>
      <c r="Z433" s="6" t="e">
        <f aca="false">Y433/L433</f>
        <v>#VALUE!</v>
      </c>
      <c r="AA433" s="3" t="n">
        <f aca="false">X433-P433</f>
        <v>-130.1</v>
      </c>
      <c r="AB433" s="6" t="n">
        <f aca="false">AA433/P433</f>
        <v>-0.79145881494099</v>
      </c>
    </row>
    <row r="434" customFormat="false" ht="12.75" hidden="false" customHeight="false" outlineLevel="0" collapsed="false">
      <c r="A434" s="0" t="s">
        <v>509</v>
      </c>
      <c r="B434" s="0" t="n">
        <v>2</v>
      </c>
      <c r="C434" s="0" t="s">
        <v>31</v>
      </c>
      <c r="D434" s="0" t="s">
        <v>31</v>
      </c>
      <c r="E434" s="0" t="n">
        <v>777</v>
      </c>
      <c r="F434" s="0" t="n">
        <v>1470</v>
      </c>
      <c r="G434" s="0" t="n">
        <v>10</v>
      </c>
      <c r="H434" s="0" t="n">
        <v>9</v>
      </c>
      <c r="I434" s="0" t="n">
        <v>9</v>
      </c>
      <c r="J434" s="0" t="n">
        <v>4</v>
      </c>
      <c r="K434" s="0" t="n">
        <v>0.7</v>
      </c>
      <c r="L434" s="1" t="n">
        <v>192417.92</v>
      </c>
      <c r="M434" s="0" t="n">
        <v>191007.26</v>
      </c>
      <c r="N434" s="0" t="n">
        <v>1410.66</v>
      </c>
      <c r="O434" s="0" t="n">
        <v>90325.64</v>
      </c>
      <c r="P434" s="1" t="n">
        <v>58.63</v>
      </c>
      <c r="Q434" s="0" t="n">
        <v>0</v>
      </c>
      <c r="R434" s="0" t="n">
        <v>10</v>
      </c>
      <c r="S434" s="0" t="s">
        <v>510</v>
      </c>
      <c r="T434" s="0" t="str">
        <f aca="false">IF(L434="inf","False","True")</f>
        <v>True</v>
      </c>
      <c r="U434" s="0" t="str">
        <f aca="false">IF(V434="inf","False","True")</f>
        <v>False</v>
      </c>
      <c r="V434" s="4" t="s">
        <v>37</v>
      </c>
      <c r="W434" s="4" t="s">
        <v>37</v>
      </c>
      <c r="X434" s="0" t="n">
        <v>20.74</v>
      </c>
      <c r="Y434" s="5" t="e">
        <f aca="false">V434-L434</f>
        <v>#VALUE!</v>
      </c>
      <c r="Z434" s="6" t="e">
        <f aca="false">Y434/L434</f>
        <v>#VALUE!</v>
      </c>
      <c r="AA434" s="3" t="n">
        <f aca="false">X434-P434</f>
        <v>-37.89</v>
      </c>
      <c r="AB434" s="6" t="n">
        <f aca="false">AA434/P434</f>
        <v>-0.646256182841549</v>
      </c>
    </row>
    <row r="435" customFormat="false" ht="12.75" hidden="false" customHeight="false" outlineLevel="0" collapsed="false">
      <c r="A435" s="0" t="s">
        <v>511</v>
      </c>
      <c r="B435" s="0" t="n">
        <v>3</v>
      </c>
      <c r="C435" s="0" t="s">
        <v>31</v>
      </c>
      <c r="D435" s="0" t="s">
        <v>31</v>
      </c>
      <c r="E435" s="0" t="n">
        <v>777</v>
      </c>
      <c r="F435" s="0" t="n">
        <v>1452</v>
      </c>
      <c r="G435" s="0" t="n">
        <v>10</v>
      </c>
      <c r="H435" s="0" t="n">
        <v>9</v>
      </c>
      <c r="I435" s="0" t="n">
        <v>9</v>
      </c>
      <c r="J435" s="0" t="n">
        <v>4</v>
      </c>
      <c r="K435" s="0" t="n">
        <v>0.7</v>
      </c>
      <c r="L435" s="1" t="n">
        <v>177911.56</v>
      </c>
      <c r="M435" s="0" t="n">
        <v>176477.39</v>
      </c>
      <c r="N435" s="0" t="n">
        <v>1434.17</v>
      </c>
      <c r="O435" s="0" t="n">
        <v>86185.74</v>
      </c>
      <c r="P435" s="1" t="n">
        <v>30.99</v>
      </c>
      <c r="Q435" s="0" t="n">
        <v>0</v>
      </c>
      <c r="R435" s="0" t="n">
        <v>2</v>
      </c>
      <c r="S435" s="0" t="s">
        <v>32</v>
      </c>
      <c r="T435" s="0" t="str">
        <f aca="false">IF(L435="inf","False","True")</f>
        <v>True</v>
      </c>
      <c r="U435" s="0" t="str">
        <f aca="false">IF(V435="inf","False","True")</f>
        <v>False</v>
      </c>
      <c r="V435" s="4" t="s">
        <v>37</v>
      </c>
      <c r="W435" s="4" t="s">
        <v>37</v>
      </c>
      <c r="X435" s="0" t="n">
        <v>19.28</v>
      </c>
      <c r="Y435" s="5" t="e">
        <f aca="false">V435-L435</f>
        <v>#VALUE!</v>
      </c>
      <c r="Z435" s="6" t="e">
        <f aca="false">Y435/L435</f>
        <v>#VALUE!</v>
      </c>
      <c r="AA435" s="3" t="n">
        <f aca="false">X435-P435</f>
        <v>-11.71</v>
      </c>
      <c r="AB435" s="6" t="n">
        <f aca="false">AA435/P435</f>
        <v>-0.377863827040981</v>
      </c>
    </row>
    <row r="436" customFormat="false" ht="12.75" hidden="false" customHeight="false" outlineLevel="0" collapsed="false">
      <c r="A436" s="0" t="s">
        <v>512</v>
      </c>
      <c r="B436" s="0" t="n">
        <v>4</v>
      </c>
      <c r="C436" s="0" t="s">
        <v>31</v>
      </c>
      <c r="D436" s="0" t="s">
        <v>31</v>
      </c>
      <c r="E436" s="0" t="n">
        <v>777</v>
      </c>
      <c r="F436" s="0" t="n">
        <v>1553</v>
      </c>
      <c r="G436" s="0" t="n">
        <v>10</v>
      </c>
      <c r="H436" s="0" t="n">
        <v>9</v>
      </c>
      <c r="I436" s="0" t="n">
        <v>9</v>
      </c>
      <c r="J436" s="0" t="n">
        <v>4</v>
      </c>
      <c r="K436" s="0" t="n">
        <v>0.7</v>
      </c>
      <c r="L436" s="1" t="n">
        <v>1553</v>
      </c>
      <c r="M436" s="0" t="n">
        <v>0</v>
      </c>
      <c r="N436" s="0" t="n">
        <v>1553</v>
      </c>
      <c r="O436" s="0" t="n">
        <v>90648</v>
      </c>
      <c r="P436" s="1" t="n">
        <v>10.21</v>
      </c>
      <c r="Q436" s="0" t="n">
        <v>0</v>
      </c>
      <c r="R436" s="0" t="n">
        <v>5</v>
      </c>
      <c r="S436" s="0" t="s">
        <v>42</v>
      </c>
      <c r="T436" s="0" t="str">
        <f aca="false">IF(L436="inf","False","True")</f>
        <v>True</v>
      </c>
      <c r="U436" s="0" t="str">
        <f aca="false">IF(V436="inf","False","True")</f>
        <v>False</v>
      </c>
      <c r="V436" s="4" t="s">
        <v>37</v>
      </c>
      <c r="W436" s="4" t="s">
        <v>37</v>
      </c>
      <c r="X436" s="0" t="n">
        <v>23.56</v>
      </c>
      <c r="Y436" s="5" t="e">
        <f aca="false">V436-L436</f>
        <v>#VALUE!</v>
      </c>
      <c r="Z436" s="6" t="e">
        <f aca="false">Y436/L436</f>
        <v>#VALUE!</v>
      </c>
      <c r="AA436" s="3" t="n">
        <f aca="false">X436-P436</f>
        <v>13.35</v>
      </c>
      <c r="AB436" s="6" t="n">
        <f aca="false">AA436/P436</f>
        <v>1.307541625857</v>
      </c>
    </row>
    <row r="437" customFormat="false" ht="12.75" hidden="false" customHeight="false" outlineLevel="0" collapsed="false">
      <c r="A437" s="0" t="s">
        <v>513</v>
      </c>
      <c r="B437" s="0" t="n">
        <v>0</v>
      </c>
      <c r="C437" s="0" t="s">
        <v>31</v>
      </c>
      <c r="D437" s="0" t="s">
        <v>31</v>
      </c>
      <c r="E437" s="0" t="n">
        <v>1111</v>
      </c>
      <c r="F437" s="0" t="n">
        <v>2027</v>
      </c>
      <c r="G437" s="0" t="n">
        <v>10</v>
      </c>
      <c r="H437" s="0" t="n">
        <v>9</v>
      </c>
      <c r="I437" s="0" t="n">
        <v>9</v>
      </c>
      <c r="J437" s="0" t="n">
        <v>4</v>
      </c>
      <c r="K437" s="0" t="n">
        <v>0.7</v>
      </c>
      <c r="L437" s="1" t="n">
        <v>64728.12</v>
      </c>
      <c r="M437" s="0" t="n">
        <v>62756.8</v>
      </c>
      <c r="N437" s="0" t="n">
        <v>1971.32</v>
      </c>
      <c r="O437" s="0" t="n">
        <v>133916.79</v>
      </c>
      <c r="P437" s="1" t="n">
        <v>24.3</v>
      </c>
      <c r="Q437" s="0" t="n">
        <v>0</v>
      </c>
      <c r="R437" s="0" t="n">
        <v>5</v>
      </c>
      <c r="S437" s="0" t="s">
        <v>514</v>
      </c>
      <c r="T437" s="0" t="str">
        <f aca="false">IF(L437="inf","False","True")</f>
        <v>True</v>
      </c>
      <c r="U437" s="0" t="str">
        <f aca="false">IF(V437="inf","False","True")</f>
        <v>False</v>
      </c>
      <c r="V437" s="4" t="s">
        <v>37</v>
      </c>
      <c r="W437" s="4" t="s">
        <v>37</v>
      </c>
      <c r="X437" s="0" t="n">
        <v>20.71</v>
      </c>
      <c r="Y437" s="5" t="e">
        <f aca="false">V437-L437</f>
        <v>#VALUE!</v>
      </c>
      <c r="Z437" s="6" t="e">
        <f aca="false">Y437/L437</f>
        <v>#VALUE!</v>
      </c>
      <c r="AA437" s="3" t="n">
        <f aca="false">X437-P437</f>
        <v>-3.59</v>
      </c>
      <c r="AB437" s="6" t="n">
        <f aca="false">AA437/P437</f>
        <v>-0.147736625514403</v>
      </c>
    </row>
    <row r="438" customFormat="false" ht="12.75" hidden="false" customHeight="false" outlineLevel="0" collapsed="false">
      <c r="A438" s="0" t="s">
        <v>515</v>
      </c>
      <c r="B438" s="0" t="n">
        <v>1</v>
      </c>
      <c r="C438" s="0" t="s">
        <v>31</v>
      </c>
      <c r="D438" s="0" t="s">
        <v>31</v>
      </c>
      <c r="E438" s="0" t="n">
        <v>1111</v>
      </c>
      <c r="F438" s="0" t="n">
        <v>2263</v>
      </c>
      <c r="G438" s="0" t="n">
        <v>10</v>
      </c>
      <c r="H438" s="0" t="n">
        <v>9</v>
      </c>
      <c r="I438" s="0" t="n">
        <v>9</v>
      </c>
      <c r="J438" s="0" t="n">
        <v>4</v>
      </c>
      <c r="K438" s="0" t="n">
        <v>0.7</v>
      </c>
      <c r="L438" s="1" t="n">
        <v>446147.46</v>
      </c>
      <c r="M438" s="0" t="n">
        <v>444065.88</v>
      </c>
      <c r="N438" s="0" t="n">
        <v>2081.57</v>
      </c>
      <c r="O438" s="0" t="n">
        <v>130829.98</v>
      </c>
      <c r="P438" s="1" t="n">
        <v>205.67</v>
      </c>
      <c r="Q438" s="0" t="n">
        <v>0</v>
      </c>
      <c r="R438" s="0" t="n">
        <v>20</v>
      </c>
      <c r="S438" s="0" t="s">
        <v>32</v>
      </c>
      <c r="T438" s="0" t="str">
        <f aca="false">IF(L438="inf","False","True")</f>
        <v>True</v>
      </c>
      <c r="U438" s="0" t="str">
        <f aca="false">IF(V438="inf","False","True")</f>
        <v>False</v>
      </c>
      <c r="V438" s="4" t="s">
        <v>37</v>
      </c>
      <c r="W438" s="4" t="s">
        <v>37</v>
      </c>
      <c r="X438" s="0" t="n">
        <v>26.36</v>
      </c>
      <c r="Y438" s="5" t="e">
        <f aca="false">V438-L438</f>
        <v>#VALUE!</v>
      </c>
      <c r="Z438" s="6" t="e">
        <f aca="false">Y438/L438</f>
        <v>#VALUE!</v>
      </c>
      <c r="AA438" s="3" t="n">
        <f aca="false">X438-P438</f>
        <v>-179.31</v>
      </c>
      <c r="AB438" s="6" t="n">
        <f aca="false">AA438/P438</f>
        <v>-0.87183351971605</v>
      </c>
    </row>
    <row r="439" customFormat="false" ht="12.75" hidden="false" customHeight="false" outlineLevel="0" collapsed="false">
      <c r="A439" s="0" t="s">
        <v>516</v>
      </c>
      <c r="B439" s="0" t="n">
        <v>2</v>
      </c>
      <c r="C439" s="0" t="s">
        <v>31</v>
      </c>
      <c r="D439" s="0" t="s">
        <v>31</v>
      </c>
      <c r="E439" s="0" t="n">
        <v>1111</v>
      </c>
      <c r="F439" s="0" t="n">
        <v>2104</v>
      </c>
      <c r="G439" s="0" t="n">
        <v>10</v>
      </c>
      <c r="H439" s="0" t="n">
        <v>9</v>
      </c>
      <c r="I439" s="0" t="n">
        <v>9</v>
      </c>
      <c r="J439" s="0" t="n">
        <v>4</v>
      </c>
      <c r="K439" s="0" t="n">
        <v>0.7</v>
      </c>
      <c r="L439" s="1" t="n">
        <v>139044.77</v>
      </c>
      <c r="M439" s="0" t="n">
        <v>136984.4</v>
      </c>
      <c r="N439" s="0" t="n">
        <v>2060.36</v>
      </c>
      <c r="O439" s="0" t="n">
        <v>133728.19</v>
      </c>
      <c r="P439" s="1" t="n">
        <v>27.59</v>
      </c>
      <c r="Q439" s="0" t="n">
        <v>0</v>
      </c>
      <c r="R439" s="0" t="n">
        <v>4</v>
      </c>
      <c r="S439" s="0" t="s">
        <v>517</v>
      </c>
      <c r="T439" s="0" t="str">
        <f aca="false">IF(L439="inf","False","True")</f>
        <v>True</v>
      </c>
      <c r="U439" s="0" t="str">
        <f aca="false">IF(V439="inf","False","True")</f>
        <v>False</v>
      </c>
      <c r="V439" s="4" t="s">
        <v>37</v>
      </c>
      <c r="W439" s="4" t="s">
        <v>37</v>
      </c>
      <c r="X439" s="0" t="n">
        <v>23.9</v>
      </c>
      <c r="Y439" s="5" t="e">
        <f aca="false">V439-L439</f>
        <v>#VALUE!</v>
      </c>
      <c r="Z439" s="6" t="e">
        <f aca="false">Y439/L439</f>
        <v>#VALUE!</v>
      </c>
      <c r="AA439" s="3" t="n">
        <f aca="false">X439-P439</f>
        <v>-3.69</v>
      </c>
      <c r="AB439" s="6" t="n">
        <f aca="false">AA439/P439</f>
        <v>-0.13374411018485</v>
      </c>
    </row>
    <row r="440" customFormat="false" ht="12.75" hidden="false" customHeight="false" outlineLevel="0" collapsed="false">
      <c r="A440" s="0" t="s">
        <v>518</v>
      </c>
      <c r="B440" s="0" t="n">
        <v>3</v>
      </c>
      <c r="C440" s="0" t="s">
        <v>31</v>
      </c>
      <c r="D440" s="0" t="s">
        <v>31</v>
      </c>
      <c r="E440" s="0" t="n">
        <v>1111</v>
      </c>
      <c r="F440" s="0" t="n">
        <v>2078</v>
      </c>
      <c r="G440" s="0" t="n">
        <v>10</v>
      </c>
      <c r="H440" s="0" t="n">
        <v>9</v>
      </c>
      <c r="I440" s="0" t="n">
        <v>9</v>
      </c>
      <c r="J440" s="0" t="n">
        <v>4</v>
      </c>
      <c r="K440" s="0" t="n">
        <v>0.7</v>
      </c>
      <c r="L440" s="1" t="n">
        <v>281865.47</v>
      </c>
      <c r="M440" s="0" t="n">
        <v>279833.04</v>
      </c>
      <c r="N440" s="0" t="n">
        <v>2032.44</v>
      </c>
      <c r="O440" s="0" t="n">
        <v>121226.65</v>
      </c>
      <c r="P440" s="1" t="n">
        <v>68.21</v>
      </c>
      <c r="Q440" s="0" t="n">
        <v>0</v>
      </c>
      <c r="R440" s="0" t="n">
        <v>2</v>
      </c>
      <c r="S440" s="0" t="s">
        <v>32</v>
      </c>
      <c r="T440" s="0" t="str">
        <f aca="false">IF(L440="inf","False","True")</f>
        <v>True</v>
      </c>
      <c r="U440" s="0" t="str">
        <f aca="false">IF(V440="inf","False","True")</f>
        <v>False</v>
      </c>
      <c r="V440" s="4" t="s">
        <v>37</v>
      </c>
      <c r="W440" s="4" t="s">
        <v>37</v>
      </c>
      <c r="X440" s="0" t="n">
        <v>17.17</v>
      </c>
      <c r="Y440" s="5" t="e">
        <f aca="false">V440-L440</f>
        <v>#VALUE!</v>
      </c>
      <c r="Z440" s="6" t="e">
        <f aca="false">Y440/L440</f>
        <v>#VALUE!</v>
      </c>
      <c r="AA440" s="3" t="n">
        <f aca="false">X440-P440</f>
        <v>-51.04</v>
      </c>
      <c r="AB440" s="6" t="n">
        <f aca="false">AA440/P440</f>
        <v>-0.748277378683477</v>
      </c>
    </row>
    <row r="441" customFormat="false" ht="12.75" hidden="false" customHeight="false" outlineLevel="0" collapsed="false">
      <c r="A441" s="0" t="s">
        <v>519</v>
      </c>
      <c r="B441" s="0" t="n">
        <v>4</v>
      </c>
      <c r="C441" s="0" t="s">
        <v>31</v>
      </c>
      <c r="D441" s="0" t="s">
        <v>31</v>
      </c>
      <c r="E441" s="0" t="n">
        <v>1111</v>
      </c>
      <c r="F441" s="0" t="n">
        <v>2222</v>
      </c>
      <c r="G441" s="0" t="n">
        <v>10</v>
      </c>
      <c r="H441" s="0" t="n">
        <v>9</v>
      </c>
      <c r="I441" s="0" t="n">
        <v>9</v>
      </c>
      <c r="J441" s="0" t="n">
        <v>4</v>
      </c>
      <c r="K441" s="0" t="n">
        <v>0.7</v>
      </c>
      <c r="L441" s="1" t="n">
        <v>2222</v>
      </c>
      <c r="M441" s="0" t="n">
        <v>0</v>
      </c>
      <c r="N441" s="0" t="n">
        <v>2222</v>
      </c>
      <c r="O441" s="0" t="n">
        <v>129491</v>
      </c>
      <c r="P441" s="1" t="n">
        <v>8.08</v>
      </c>
      <c r="Q441" s="0" t="n">
        <v>0</v>
      </c>
      <c r="R441" s="0" t="n">
        <v>1</v>
      </c>
      <c r="S441" s="0" t="s">
        <v>42</v>
      </c>
      <c r="T441" s="0" t="str">
        <f aca="false">IF(L441="inf","False","True")</f>
        <v>True</v>
      </c>
      <c r="U441" s="0" t="str">
        <f aca="false">IF(V441="inf","False","True")</f>
        <v>False</v>
      </c>
      <c r="V441" s="4" t="s">
        <v>37</v>
      </c>
      <c r="W441" s="4" t="s">
        <v>37</v>
      </c>
      <c r="X441" s="0" t="n">
        <v>24.66</v>
      </c>
      <c r="Y441" s="5" t="e">
        <f aca="false">V441-L441</f>
        <v>#VALUE!</v>
      </c>
      <c r="Z441" s="6" t="e">
        <f aca="false">Y441/L441</f>
        <v>#VALUE!</v>
      </c>
      <c r="AA441" s="3" t="n">
        <f aca="false">X441-P441</f>
        <v>16.58</v>
      </c>
      <c r="AB441" s="6" t="n">
        <f aca="false">AA441/P441</f>
        <v>2.0519801980198</v>
      </c>
    </row>
    <row r="442" customFormat="false" ht="12.75" hidden="false" customHeight="false" outlineLevel="0" collapsed="false">
      <c r="A442" s="0" t="s">
        <v>520</v>
      </c>
      <c r="B442" s="0" t="n">
        <v>0</v>
      </c>
      <c r="C442" s="0" t="s">
        <v>31</v>
      </c>
      <c r="D442" s="0" t="s">
        <v>31</v>
      </c>
      <c r="E442" s="0" t="n">
        <v>333</v>
      </c>
      <c r="F442" s="0" t="n">
        <v>749</v>
      </c>
      <c r="G442" s="0" t="n">
        <v>10</v>
      </c>
      <c r="H442" s="0" t="n">
        <v>9</v>
      </c>
      <c r="I442" s="0" t="n">
        <v>9</v>
      </c>
      <c r="J442" s="0" t="n">
        <v>8</v>
      </c>
      <c r="K442" s="0" t="n">
        <v>0.7</v>
      </c>
      <c r="L442" s="1" t="n">
        <v>749</v>
      </c>
      <c r="M442" s="0" t="n">
        <v>0</v>
      </c>
      <c r="N442" s="0" t="n">
        <v>749</v>
      </c>
      <c r="O442" s="0" t="n">
        <v>37937</v>
      </c>
      <c r="P442" s="1" t="n">
        <v>14.29</v>
      </c>
      <c r="Q442" s="0" t="n">
        <v>0</v>
      </c>
      <c r="R442" s="0" t="n">
        <v>1</v>
      </c>
      <c r="S442" s="0" t="s">
        <v>42</v>
      </c>
      <c r="T442" s="0" t="str">
        <f aca="false">IF(L442="inf","False","True")</f>
        <v>True</v>
      </c>
      <c r="U442" s="0" t="str">
        <f aca="false">IF(V442="inf","False","True")</f>
        <v>True</v>
      </c>
      <c r="V442" s="4" t="n">
        <v>39848.12</v>
      </c>
      <c r="W442" s="4" t="n">
        <v>38639.56</v>
      </c>
      <c r="X442" s="0" t="n">
        <v>206.74</v>
      </c>
      <c r="Y442" s="5" t="n">
        <f aca="false">V442-L442</f>
        <v>39099.12</v>
      </c>
      <c r="Z442" s="6" t="n">
        <f aca="false">Y442/L442</f>
        <v>52.2017623497997</v>
      </c>
      <c r="AA442" s="3" t="n">
        <f aca="false">X442-P442</f>
        <v>192.45</v>
      </c>
      <c r="AB442" s="6" t="n">
        <f aca="false">AA442/P442</f>
        <v>13.4674597620714</v>
      </c>
    </row>
    <row r="443" customFormat="false" ht="12.75" hidden="false" customHeight="false" outlineLevel="0" collapsed="false">
      <c r="A443" s="0" t="s">
        <v>521</v>
      </c>
      <c r="B443" s="0" t="n">
        <v>1</v>
      </c>
      <c r="C443" s="0" t="s">
        <v>31</v>
      </c>
      <c r="D443" s="0" t="s">
        <v>31</v>
      </c>
      <c r="E443" s="0" t="n">
        <v>333</v>
      </c>
      <c r="F443" s="0" t="n">
        <v>768</v>
      </c>
      <c r="G443" s="0" t="n">
        <v>10</v>
      </c>
      <c r="H443" s="0" t="n">
        <v>9</v>
      </c>
      <c r="I443" s="0" t="n">
        <v>9</v>
      </c>
      <c r="J443" s="0" t="n">
        <v>8</v>
      </c>
      <c r="K443" s="0" t="n">
        <v>0.7</v>
      </c>
      <c r="L443" s="1" t="n">
        <v>768</v>
      </c>
      <c r="M443" s="0" t="n">
        <v>0</v>
      </c>
      <c r="N443" s="0" t="n">
        <v>768</v>
      </c>
      <c r="O443" s="0" t="n">
        <v>35941</v>
      </c>
      <c r="P443" s="1" t="n">
        <v>19.18</v>
      </c>
      <c r="Q443" s="0" t="n">
        <v>0</v>
      </c>
      <c r="R443" s="0" t="n">
        <v>1</v>
      </c>
      <c r="S443" s="0" t="s">
        <v>42</v>
      </c>
      <c r="T443" s="0" t="str">
        <f aca="false">IF(L443="inf","False","True")</f>
        <v>True</v>
      </c>
      <c r="U443" s="0" t="str">
        <f aca="false">IF(V443="inf","False","True")</f>
        <v>True</v>
      </c>
      <c r="V443" s="4" t="n">
        <v>54887.93</v>
      </c>
      <c r="W443" s="4" t="n">
        <v>33750.28</v>
      </c>
      <c r="X443" s="0" t="n">
        <v>256.21</v>
      </c>
      <c r="Y443" s="5" t="n">
        <f aca="false">V443-L443</f>
        <v>54119.93</v>
      </c>
      <c r="Z443" s="6" t="n">
        <f aca="false">Y443/L443</f>
        <v>70.4686588541667</v>
      </c>
      <c r="AA443" s="3" t="n">
        <f aca="false">X443-P443</f>
        <v>237.03</v>
      </c>
      <c r="AB443" s="6" t="n">
        <f aca="false">AA443/P443</f>
        <v>12.3581856100104</v>
      </c>
    </row>
    <row r="444" customFormat="false" ht="12.75" hidden="false" customHeight="false" outlineLevel="0" collapsed="false">
      <c r="A444" s="0" t="s">
        <v>522</v>
      </c>
      <c r="B444" s="0" t="n">
        <v>2</v>
      </c>
      <c r="C444" s="0" t="s">
        <v>31</v>
      </c>
      <c r="D444" s="0" t="s">
        <v>31</v>
      </c>
      <c r="E444" s="0" t="n">
        <v>333</v>
      </c>
      <c r="F444" s="0" t="n">
        <v>715</v>
      </c>
      <c r="G444" s="0" t="n">
        <v>10</v>
      </c>
      <c r="H444" s="0" t="n">
        <v>9</v>
      </c>
      <c r="I444" s="0" t="n">
        <v>9</v>
      </c>
      <c r="J444" s="0" t="n">
        <v>8</v>
      </c>
      <c r="K444" s="0" t="n">
        <v>0.7</v>
      </c>
      <c r="L444" s="1" t="n">
        <v>715</v>
      </c>
      <c r="M444" s="0" t="n">
        <v>0</v>
      </c>
      <c r="N444" s="0" t="n">
        <v>715</v>
      </c>
      <c r="O444" s="0" t="n">
        <v>36030</v>
      </c>
      <c r="P444" s="1" t="n">
        <v>13.92</v>
      </c>
      <c r="Q444" s="0" t="n">
        <v>0</v>
      </c>
      <c r="R444" s="0" t="n">
        <v>2</v>
      </c>
      <c r="S444" s="0" t="s">
        <v>42</v>
      </c>
      <c r="T444" s="0" t="str">
        <f aca="false">IF(L444="inf","False","True")</f>
        <v>True</v>
      </c>
      <c r="U444" s="0" t="str">
        <f aca="false">IF(V444="inf","False","True")</f>
        <v>False</v>
      </c>
      <c r="V444" s="4" t="s">
        <v>37</v>
      </c>
      <c r="W444" s="4" t="s">
        <v>37</v>
      </c>
      <c r="X444" s="0" t="n">
        <v>37.55</v>
      </c>
      <c r="Y444" s="5" t="e">
        <f aca="false">V444-L444</f>
        <v>#VALUE!</v>
      </c>
      <c r="Z444" s="6" t="e">
        <f aca="false">Y444/L444</f>
        <v>#VALUE!</v>
      </c>
      <c r="AA444" s="3" t="n">
        <f aca="false">X444-P444</f>
        <v>23.63</v>
      </c>
      <c r="AB444" s="6" t="n">
        <f aca="false">AA444/P444</f>
        <v>1.69755747126437</v>
      </c>
    </row>
    <row r="445" customFormat="false" ht="12.75" hidden="false" customHeight="false" outlineLevel="0" collapsed="false">
      <c r="A445" s="0" t="s">
        <v>523</v>
      </c>
      <c r="B445" s="0" t="n">
        <v>3</v>
      </c>
      <c r="C445" s="0" t="s">
        <v>31</v>
      </c>
      <c r="D445" s="0" t="s">
        <v>31</v>
      </c>
      <c r="E445" s="0" t="n">
        <v>333</v>
      </c>
      <c r="F445" s="0" t="n">
        <v>733</v>
      </c>
      <c r="G445" s="0" t="n">
        <v>10</v>
      </c>
      <c r="H445" s="0" t="n">
        <v>9</v>
      </c>
      <c r="I445" s="0" t="n">
        <v>9</v>
      </c>
      <c r="J445" s="0" t="n">
        <v>8</v>
      </c>
      <c r="K445" s="0" t="n">
        <v>0.7</v>
      </c>
      <c r="L445" s="1" t="n">
        <v>733</v>
      </c>
      <c r="M445" s="0" t="n">
        <v>0</v>
      </c>
      <c r="N445" s="0" t="n">
        <v>733</v>
      </c>
      <c r="O445" s="0" t="n">
        <v>39099</v>
      </c>
      <c r="P445" s="1" t="n">
        <v>10.76</v>
      </c>
      <c r="Q445" s="0" t="n">
        <v>0</v>
      </c>
      <c r="R445" s="0" t="n">
        <v>1</v>
      </c>
      <c r="S445" s="0" t="s">
        <v>42</v>
      </c>
      <c r="T445" s="0" t="str">
        <f aca="false">IF(L445="inf","False","True")</f>
        <v>True</v>
      </c>
      <c r="U445" s="0" t="str">
        <f aca="false">IF(V445="inf","False","True")</f>
        <v>False</v>
      </c>
      <c r="V445" s="4" t="s">
        <v>37</v>
      </c>
      <c r="W445" s="4" t="s">
        <v>37</v>
      </c>
      <c r="X445" s="0" t="n">
        <v>171.67</v>
      </c>
      <c r="Y445" s="5" t="e">
        <f aca="false">V445-L445</f>
        <v>#VALUE!</v>
      </c>
      <c r="Z445" s="6" t="e">
        <f aca="false">Y445/L445</f>
        <v>#VALUE!</v>
      </c>
      <c r="AA445" s="3" t="n">
        <f aca="false">X445-P445</f>
        <v>160.91</v>
      </c>
      <c r="AB445" s="6" t="n">
        <f aca="false">AA445/P445</f>
        <v>14.9544609665428</v>
      </c>
    </row>
    <row r="446" customFormat="false" ht="12.75" hidden="false" customHeight="false" outlineLevel="0" collapsed="false">
      <c r="A446" s="0" t="s">
        <v>524</v>
      </c>
      <c r="B446" s="0" t="n">
        <v>4</v>
      </c>
      <c r="C446" s="0" t="s">
        <v>31</v>
      </c>
      <c r="D446" s="0" t="s">
        <v>31</v>
      </c>
      <c r="E446" s="0" t="n">
        <v>333</v>
      </c>
      <c r="F446" s="0" t="n">
        <v>761</v>
      </c>
      <c r="G446" s="0" t="n">
        <v>10</v>
      </c>
      <c r="H446" s="0" t="n">
        <v>9</v>
      </c>
      <c r="I446" s="0" t="n">
        <v>9</v>
      </c>
      <c r="J446" s="0" t="n">
        <v>8</v>
      </c>
      <c r="K446" s="0" t="n">
        <v>0.7</v>
      </c>
      <c r="L446" s="1" t="n">
        <v>761</v>
      </c>
      <c r="M446" s="0" t="n">
        <v>0</v>
      </c>
      <c r="N446" s="0" t="n">
        <v>761</v>
      </c>
      <c r="O446" s="0" t="n">
        <v>36901</v>
      </c>
      <c r="P446" s="1" t="n">
        <v>16.57</v>
      </c>
      <c r="Q446" s="0" t="n">
        <v>0</v>
      </c>
      <c r="R446" s="0" t="n">
        <v>1</v>
      </c>
      <c r="S446" s="0" t="s">
        <v>42</v>
      </c>
      <c r="T446" s="0" t="str">
        <f aca="false">IF(L446="inf","False","True")</f>
        <v>True</v>
      </c>
      <c r="U446" s="0" t="str">
        <f aca="false">IF(V446="inf","False","True")</f>
        <v>True</v>
      </c>
      <c r="V446" s="4" t="n">
        <v>40353.29</v>
      </c>
      <c r="W446" s="4" t="n">
        <v>36587.33</v>
      </c>
      <c r="X446" s="0" t="n">
        <v>342.32</v>
      </c>
      <c r="Y446" s="5" t="n">
        <f aca="false">V446-L446</f>
        <v>39592.29</v>
      </c>
      <c r="Z446" s="6" t="n">
        <f aca="false">Y446/L446</f>
        <v>52.0266622864652</v>
      </c>
      <c r="AA446" s="3" t="n">
        <f aca="false">X446-P446</f>
        <v>325.75</v>
      </c>
      <c r="AB446" s="6" t="n">
        <f aca="false">AA446/P446</f>
        <v>19.6590223295112</v>
      </c>
    </row>
    <row r="447" customFormat="false" ht="12.75" hidden="false" customHeight="false" outlineLevel="0" collapsed="false">
      <c r="A447" s="0" t="s">
        <v>525</v>
      </c>
      <c r="B447" s="0" t="n">
        <v>0</v>
      </c>
      <c r="C447" s="0" t="s">
        <v>31</v>
      </c>
      <c r="D447" s="0" t="s">
        <v>31</v>
      </c>
      <c r="E447" s="0" t="n">
        <v>555</v>
      </c>
      <c r="F447" s="0" t="n">
        <v>1256</v>
      </c>
      <c r="G447" s="0" t="n">
        <v>10</v>
      </c>
      <c r="H447" s="0" t="n">
        <v>9</v>
      </c>
      <c r="I447" s="0" t="n">
        <v>9</v>
      </c>
      <c r="J447" s="0" t="n">
        <v>8</v>
      </c>
      <c r="K447" s="0" t="n">
        <v>0.7</v>
      </c>
      <c r="L447" s="1" t="n">
        <v>1248.89</v>
      </c>
      <c r="M447" s="0" t="n">
        <v>0</v>
      </c>
      <c r="N447" s="0" t="n">
        <v>1248.89</v>
      </c>
      <c r="O447" s="0" t="n">
        <v>65166</v>
      </c>
      <c r="P447" s="1" t="n">
        <v>22.3</v>
      </c>
      <c r="Q447" s="0" t="n">
        <v>0</v>
      </c>
      <c r="R447" s="0" t="n">
        <v>2</v>
      </c>
      <c r="S447" s="0" t="s">
        <v>526</v>
      </c>
      <c r="T447" s="0" t="str">
        <f aca="false">IF(L447="inf","False","True")</f>
        <v>True</v>
      </c>
      <c r="U447" s="0" t="str">
        <f aca="false">IF(V447="inf","False","True")</f>
        <v>True</v>
      </c>
      <c r="V447" s="4" t="n">
        <v>178632.94</v>
      </c>
      <c r="W447" s="4" t="n">
        <v>58878.93</v>
      </c>
      <c r="X447" s="0" t="n">
        <v>221.56</v>
      </c>
      <c r="Y447" s="5" t="n">
        <f aca="false">V447-L447</f>
        <v>177384.05</v>
      </c>
      <c r="Z447" s="6" t="n">
        <f aca="false">Y447/L447</f>
        <v>142.033365628678</v>
      </c>
      <c r="AA447" s="3" t="n">
        <f aca="false">X447-P447</f>
        <v>199.26</v>
      </c>
      <c r="AB447" s="6" t="n">
        <f aca="false">AA447/P447</f>
        <v>8.93542600896861</v>
      </c>
    </row>
    <row r="448" customFormat="false" ht="12.75" hidden="false" customHeight="false" outlineLevel="0" collapsed="false">
      <c r="A448" s="0" t="s">
        <v>527</v>
      </c>
      <c r="B448" s="0" t="n">
        <v>1</v>
      </c>
      <c r="C448" s="0" t="s">
        <v>31</v>
      </c>
      <c r="D448" s="0" t="s">
        <v>31</v>
      </c>
      <c r="E448" s="0" t="n">
        <v>555</v>
      </c>
      <c r="F448" s="0" t="n">
        <v>1287</v>
      </c>
      <c r="G448" s="0" t="n">
        <v>10</v>
      </c>
      <c r="H448" s="0" t="n">
        <v>9</v>
      </c>
      <c r="I448" s="0" t="n">
        <v>9</v>
      </c>
      <c r="J448" s="0" t="n">
        <v>8</v>
      </c>
      <c r="K448" s="0" t="n">
        <v>0.7</v>
      </c>
      <c r="L448" s="1" t="n">
        <v>1287</v>
      </c>
      <c r="M448" s="0" t="n">
        <v>0</v>
      </c>
      <c r="N448" s="0" t="n">
        <v>1287</v>
      </c>
      <c r="O448" s="0" t="n">
        <v>59940</v>
      </c>
      <c r="P448" s="1" t="n">
        <v>24.15</v>
      </c>
      <c r="Q448" s="0" t="n">
        <v>0</v>
      </c>
      <c r="R448" s="0" t="n">
        <v>1</v>
      </c>
      <c r="S448" s="0" t="s">
        <v>42</v>
      </c>
      <c r="T448" s="0" t="str">
        <f aca="false">IF(L448="inf","False","True")</f>
        <v>True</v>
      </c>
      <c r="U448" s="0" t="str">
        <f aca="false">IF(V448="inf","False","True")</f>
        <v>True</v>
      </c>
      <c r="V448" s="4" t="n">
        <v>151293.34</v>
      </c>
      <c r="W448" s="4" t="n">
        <v>54448.91</v>
      </c>
      <c r="X448" s="0" t="n">
        <v>60.98</v>
      </c>
      <c r="Y448" s="5" t="n">
        <f aca="false">V448-L448</f>
        <v>150006.34</v>
      </c>
      <c r="Z448" s="6" t="n">
        <f aca="false">Y448/L448</f>
        <v>116.555042735043</v>
      </c>
      <c r="AA448" s="3" t="n">
        <f aca="false">X448-P448</f>
        <v>36.83</v>
      </c>
      <c r="AB448" s="6" t="n">
        <f aca="false">AA448/P448</f>
        <v>1.52505175983437</v>
      </c>
    </row>
    <row r="449" customFormat="false" ht="12.75" hidden="false" customHeight="false" outlineLevel="0" collapsed="false">
      <c r="A449" s="0" t="s">
        <v>528</v>
      </c>
      <c r="B449" s="0" t="n">
        <v>2</v>
      </c>
      <c r="C449" s="0" t="s">
        <v>31</v>
      </c>
      <c r="D449" s="0" t="s">
        <v>31</v>
      </c>
      <c r="E449" s="0" t="n">
        <v>555</v>
      </c>
      <c r="F449" s="0" t="n">
        <v>1198</v>
      </c>
      <c r="G449" s="0" t="n">
        <v>10</v>
      </c>
      <c r="H449" s="0" t="n">
        <v>9</v>
      </c>
      <c r="I449" s="0" t="n">
        <v>9</v>
      </c>
      <c r="J449" s="0" t="n">
        <v>8</v>
      </c>
      <c r="K449" s="0" t="n">
        <v>0.7</v>
      </c>
      <c r="L449" s="1" t="n">
        <v>1198</v>
      </c>
      <c r="M449" s="0" t="n">
        <v>0</v>
      </c>
      <c r="N449" s="0" t="n">
        <v>1198</v>
      </c>
      <c r="O449" s="0" t="n">
        <v>60075</v>
      </c>
      <c r="P449" s="1" t="n">
        <v>15.72</v>
      </c>
      <c r="Q449" s="0" t="n">
        <v>0</v>
      </c>
      <c r="R449" s="0" t="n">
        <v>5</v>
      </c>
      <c r="S449" s="0" t="s">
        <v>42</v>
      </c>
      <c r="T449" s="0" t="str">
        <f aca="false">IF(L449="inf","False","True")</f>
        <v>True</v>
      </c>
      <c r="U449" s="0" t="str">
        <f aca="false">IF(V449="inf","False","True")</f>
        <v>False</v>
      </c>
      <c r="V449" s="4" t="s">
        <v>37</v>
      </c>
      <c r="W449" s="4" t="s">
        <v>37</v>
      </c>
      <c r="X449" s="0" t="n">
        <v>41.11</v>
      </c>
      <c r="Y449" s="5" t="e">
        <f aca="false">V449-L449</f>
        <v>#VALUE!</v>
      </c>
      <c r="Z449" s="6" t="e">
        <f aca="false">Y449/L449</f>
        <v>#VALUE!</v>
      </c>
      <c r="AA449" s="3" t="n">
        <f aca="false">X449-P449</f>
        <v>25.39</v>
      </c>
      <c r="AB449" s="6" t="n">
        <f aca="false">AA449/P449</f>
        <v>1.61513994910941</v>
      </c>
    </row>
    <row r="450" customFormat="false" ht="12.75" hidden="false" customHeight="false" outlineLevel="0" collapsed="false">
      <c r="A450" s="0" t="s">
        <v>529</v>
      </c>
      <c r="B450" s="0" t="n">
        <v>3</v>
      </c>
      <c r="C450" s="0" t="s">
        <v>31</v>
      </c>
      <c r="D450" s="0" t="s">
        <v>31</v>
      </c>
      <c r="E450" s="0" t="n">
        <v>555</v>
      </c>
      <c r="F450" s="0" t="n">
        <v>1228</v>
      </c>
      <c r="G450" s="0" t="n">
        <v>10</v>
      </c>
      <c r="H450" s="0" t="n">
        <v>9</v>
      </c>
      <c r="I450" s="0" t="n">
        <v>9</v>
      </c>
      <c r="J450" s="0" t="n">
        <v>8</v>
      </c>
      <c r="K450" s="0" t="n">
        <v>0.7</v>
      </c>
      <c r="L450" s="1" t="n">
        <v>1228</v>
      </c>
      <c r="M450" s="0" t="n">
        <v>0</v>
      </c>
      <c r="N450" s="0" t="n">
        <v>1228</v>
      </c>
      <c r="O450" s="0" t="n">
        <v>65167</v>
      </c>
      <c r="P450" s="1" t="n">
        <v>9.94</v>
      </c>
      <c r="Q450" s="0" t="n">
        <v>0</v>
      </c>
      <c r="R450" s="0" t="n">
        <v>1</v>
      </c>
      <c r="S450" s="0" t="s">
        <v>42</v>
      </c>
      <c r="T450" s="0" t="str">
        <f aca="false">IF(L450="inf","False","True")</f>
        <v>True</v>
      </c>
      <c r="U450" s="0" t="str">
        <f aca="false">IF(V450="inf","False","True")</f>
        <v>True</v>
      </c>
      <c r="V450" s="4" t="n">
        <v>114549.03</v>
      </c>
      <c r="W450" s="4" t="n">
        <v>60382.68</v>
      </c>
      <c r="X450" s="0" t="n">
        <v>108.19</v>
      </c>
      <c r="Y450" s="5" t="n">
        <f aca="false">V450-L450</f>
        <v>113321.03</v>
      </c>
      <c r="Z450" s="6" t="n">
        <f aca="false">Y450/L450</f>
        <v>92.2809690553746</v>
      </c>
      <c r="AA450" s="3" t="n">
        <f aca="false">X450-P450</f>
        <v>98.25</v>
      </c>
      <c r="AB450" s="6" t="n">
        <f aca="false">AA450/P450</f>
        <v>9.88430583501006</v>
      </c>
    </row>
    <row r="451" customFormat="false" ht="12.75" hidden="false" customHeight="false" outlineLevel="0" collapsed="false">
      <c r="A451" s="0" t="s">
        <v>530</v>
      </c>
      <c r="B451" s="0" t="n">
        <v>4</v>
      </c>
      <c r="C451" s="0" t="s">
        <v>31</v>
      </c>
      <c r="D451" s="0" t="s">
        <v>31</v>
      </c>
      <c r="E451" s="0" t="n">
        <v>555</v>
      </c>
      <c r="F451" s="0" t="n">
        <v>1275</v>
      </c>
      <c r="G451" s="0" t="n">
        <v>10</v>
      </c>
      <c r="H451" s="0" t="n">
        <v>9</v>
      </c>
      <c r="I451" s="0" t="n">
        <v>9</v>
      </c>
      <c r="J451" s="0" t="n">
        <v>8</v>
      </c>
      <c r="K451" s="0" t="n">
        <v>0.7</v>
      </c>
      <c r="L451" s="1" t="n">
        <v>1275</v>
      </c>
      <c r="M451" s="0" t="n">
        <v>0</v>
      </c>
      <c r="N451" s="0" t="n">
        <v>1275</v>
      </c>
      <c r="O451" s="0" t="n">
        <v>61470</v>
      </c>
      <c r="P451" s="1" t="n">
        <v>18.01</v>
      </c>
      <c r="Q451" s="0" t="n">
        <v>0</v>
      </c>
      <c r="R451" s="0" t="n">
        <v>1</v>
      </c>
      <c r="S451" s="0" t="s">
        <v>42</v>
      </c>
      <c r="T451" s="0" t="str">
        <f aca="false">IF(L451="inf","False","True")</f>
        <v>True</v>
      </c>
      <c r="U451" s="0" t="str">
        <f aca="false">IF(V451="inf","False","True")</f>
        <v>True</v>
      </c>
      <c r="V451" s="4" t="n">
        <v>97083.43</v>
      </c>
      <c r="W451" s="4" t="n">
        <v>59779</v>
      </c>
      <c r="X451" s="0" t="n">
        <v>593.65</v>
      </c>
      <c r="Y451" s="5" t="n">
        <f aca="false">V451-L451</f>
        <v>95808.43</v>
      </c>
      <c r="Z451" s="6" t="n">
        <f aca="false">Y451/L451</f>
        <v>75.1438666666667</v>
      </c>
      <c r="AA451" s="3" t="n">
        <f aca="false">X451-P451</f>
        <v>575.64</v>
      </c>
      <c r="AB451" s="6" t="n">
        <f aca="false">AA451/P451</f>
        <v>31.9622431982232</v>
      </c>
    </row>
    <row r="452" customFormat="false" ht="12.75" hidden="false" customHeight="false" outlineLevel="0" collapsed="false">
      <c r="A452" s="0" t="s">
        <v>531</v>
      </c>
      <c r="B452" s="0" t="n">
        <v>0</v>
      </c>
      <c r="C452" s="0" t="s">
        <v>31</v>
      </c>
      <c r="D452" s="0" t="s">
        <v>31</v>
      </c>
      <c r="E452" s="0" t="n">
        <v>777</v>
      </c>
      <c r="F452" s="0" t="n">
        <v>1762</v>
      </c>
      <c r="G452" s="0" t="n">
        <v>10</v>
      </c>
      <c r="H452" s="0" t="n">
        <v>9</v>
      </c>
      <c r="I452" s="0" t="n">
        <v>9</v>
      </c>
      <c r="J452" s="0" t="n">
        <v>8</v>
      </c>
      <c r="K452" s="0" t="n">
        <v>0.7</v>
      </c>
      <c r="L452" s="1" t="n">
        <v>1762</v>
      </c>
      <c r="M452" s="0" t="n">
        <v>0</v>
      </c>
      <c r="N452" s="0" t="n">
        <v>1762</v>
      </c>
      <c r="O452" s="0" t="n">
        <v>88484</v>
      </c>
      <c r="P452" s="1" t="n">
        <v>24.44</v>
      </c>
      <c r="Q452" s="0" t="n">
        <v>0</v>
      </c>
      <c r="R452" s="0" t="n">
        <v>5</v>
      </c>
      <c r="S452" s="0" t="s">
        <v>42</v>
      </c>
      <c r="T452" s="0" t="str">
        <f aca="false">IF(L452="inf","False","True")</f>
        <v>True</v>
      </c>
      <c r="U452" s="0" t="str">
        <f aca="false">IF(V452="inf","False","True")</f>
        <v>True</v>
      </c>
      <c r="V452" s="4" t="n">
        <v>167989.86</v>
      </c>
      <c r="W452" s="4" t="n">
        <v>83522.97</v>
      </c>
      <c r="X452" s="0" t="n">
        <v>8.62</v>
      </c>
      <c r="Y452" s="5" t="n">
        <f aca="false">V452-L452</f>
        <v>166227.86</v>
      </c>
      <c r="Z452" s="6" t="n">
        <f aca="false">Y452/L452</f>
        <v>94.3404426787741</v>
      </c>
      <c r="AA452" s="3" t="n">
        <f aca="false">X452-P452</f>
        <v>-15.82</v>
      </c>
      <c r="AB452" s="6" t="n">
        <f aca="false">AA452/P452</f>
        <v>-0.647299509001637</v>
      </c>
    </row>
    <row r="453" customFormat="false" ht="12.75" hidden="false" customHeight="false" outlineLevel="0" collapsed="false">
      <c r="A453" s="0" t="s">
        <v>532</v>
      </c>
      <c r="B453" s="0" t="n">
        <v>1</v>
      </c>
      <c r="C453" s="0" t="s">
        <v>31</v>
      </c>
      <c r="D453" s="0" t="s">
        <v>31</v>
      </c>
      <c r="E453" s="0" t="n">
        <v>777</v>
      </c>
      <c r="F453" s="0" t="n">
        <v>1806</v>
      </c>
      <c r="G453" s="0" t="n">
        <v>10</v>
      </c>
      <c r="H453" s="0" t="n">
        <v>9</v>
      </c>
      <c r="I453" s="0" t="n">
        <v>9</v>
      </c>
      <c r="J453" s="0" t="n">
        <v>8</v>
      </c>
      <c r="K453" s="0" t="n">
        <v>0.7</v>
      </c>
      <c r="L453" s="1" t="n">
        <v>1806</v>
      </c>
      <c r="M453" s="0" t="n">
        <v>0</v>
      </c>
      <c r="N453" s="0" t="n">
        <v>1806</v>
      </c>
      <c r="O453" s="0" t="n">
        <v>83937</v>
      </c>
      <c r="P453" s="1" t="n">
        <v>27.7</v>
      </c>
      <c r="Q453" s="0" t="n">
        <v>0</v>
      </c>
      <c r="R453" s="0" t="n">
        <v>5</v>
      </c>
      <c r="S453" s="0" t="s">
        <v>42</v>
      </c>
      <c r="T453" s="0" t="str">
        <f aca="false">IF(L453="inf","False","True")</f>
        <v>True</v>
      </c>
      <c r="U453" s="0" t="str">
        <f aca="false">IF(V453="inf","False","True")</f>
        <v>True</v>
      </c>
      <c r="V453" s="4" t="n">
        <v>178867.66</v>
      </c>
      <c r="W453" s="4" t="n">
        <v>77763.79</v>
      </c>
      <c r="X453" s="0" t="n">
        <v>306.56</v>
      </c>
      <c r="Y453" s="5" t="n">
        <f aca="false">V453-L453</f>
        <v>177061.66</v>
      </c>
      <c r="Z453" s="6" t="n">
        <f aca="false">Y453/L453</f>
        <v>98.0407862679956</v>
      </c>
      <c r="AA453" s="3" t="n">
        <f aca="false">X453-P453</f>
        <v>278.86</v>
      </c>
      <c r="AB453" s="6" t="n">
        <f aca="false">AA453/P453</f>
        <v>10.0671480144404</v>
      </c>
    </row>
    <row r="454" customFormat="false" ht="12.75" hidden="false" customHeight="false" outlineLevel="0" collapsed="false">
      <c r="A454" s="0" t="s">
        <v>533</v>
      </c>
      <c r="B454" s="0" t="n">
        <v>2</v>
      </c>
      <c r="C454" s="0" t="s">
        <v>31</v>
      </c>
      <c r="D454" s="0" t="s">
        <v>31</v>
      </c>
      <c r="E454" s="0" t="n">
        <v>777</v>
      </c>
      <c r="F454" s="0" t="n">
        <v>1681</v>
      </c>
      <c r="G454" s="0" t="n">
        <v>10</v>
      </c>
      <c r="H454" s="0" t="n">
        <v>9</v>
      </c>
      <c r="I454" s="0" t="n">
        <v>9</v>
      </c>
      <c r="J454" s="0" t="n">
        <v>8</v>
      </c>
      <c r="K454" s="0" t="n">
        <v>0.7</v>
      </c>
      <c r="L454" s="1" t="n">
        <v>1681</v>
      </c>
      <c r="M454" s="0" t="n">
        <v>0</v>
      </c>
      <c r="N454" s="0" t="n">
        <v>1681</v>
      </c>
      <c r="O454" s="0" t="n">
        <v>84101</v>
      </c>
      <c r="P454" s="1" t="n">
        <v>11.07</v>
      </c>
      <c r="Q454" s="0" t="n">
        <v>0</v>
      </c>
      <c r="R454" s="0" t="n">
        <v>1</v>
      </c>
      <c r="S454" s="0" t="s">
        <v>42</v>
      </c>
      <c r="T454" s="0" t="str">
        <f aca="false">IF(L454="inf","False","True")</f>
        <v>True</v>
      </c>
      <c r="U454" s="0" t="str">
        <f aca="false">IF(V454="inf","False","True")</f>
        <v>True</v>
      </c>
      <c r="V454" s="4" t="n">
        <v>104393.92</v>
      </c>
      <c r="W454" s="4" t="n">
        <v>82021.45</v>
      </c>
      <c r="X454" s="0" t="n">
        <v>36.09</v>
      </c>
      <c r="Y454" s="5" t="n">
        <f aca="false">V454-L454</f>
        <v>102712.92</v>
      </c>
      <c r="Z454" s="6" t="n">
        <f aca="false">Y454/L454</f>
        <v>61.1022724568709</v>
      </c>
      <c r="AA454" s="3" t="n">
        <f aca="false">X454-P454</f>
        <v>25.02</v>
      </c>
      <c r="AB454" s="6" t="n">
        <f aca="false">AA454/P454</f>
        <v>2.26016260162602</v>
      </c>
    </row>
    <row r="455" customFormat="false" ht="12.75" hidden="false" customHeight="false" outlineLevel="0" collapsed="false">
      <c r="A455" s="0" t="s">
        <v>534</v>
      </c>
      <c r="B455" s="0" t="n">
        <v>3</v>
      </c>
      <c r="C455" s="0" t="s">
        <v>31</v>
      </c>
      <c r="D455" s="0" t="s">
        <v>31</v>
      </c>
      <c r="E455" s="0" t="n">
        <v>777</v>
      </c>
      <c r="F455" s="0" t="n">
        <v>1724</v>
      </c>
      <c r="G455" s="0" t="n">
        <v>10</v>
      </c>
      <c r="H455" s="0" t="n">
        <v>9</v>
      </c>
      <c r="I455" s="0" t="n">
        <v>9</v>
      </c>
      <c r="J455" s="0" t="n">
        <v>8</v>
      </c>
      <c r="K455" s="0" t="n">
        <v>0.7</v>
      </c>
      <c r="L455" s="1" t="n">
        <v>1724</v>
      </c>
      <c r="M455" s="0" t="n">
        <v>0</v>
      </c>
      <c r="N455" s="0" t="n">
        <v>1724</v>
      </c>
      <c r="O455" s="0" t="n">
        <v>91235</v>
      </c>
      <c r="P455" s="1" t="n">
        <v>11.16</v>
      </c>
      <c r="Q455" s="0" t="n">
        <v>0</v>
      </c>
      <c r="R455" s="0" t="n">
        <v>1</v>
      </c>
      <c r="S455" s="0" t="s">
        <v>42</v>
      </c>
      <c r="T455" s="0" t="str">
        <f aca="false">IF(L455="inf","False","True")</f>
        <v>True</v>
      </c>
      <c r="U455" s="0" t="str">
        <f aca="false">IF(V455="inf","False","True")</f>
        <v>True</v>
      </c>
      <c r="V455" s="4" t="n">
        <v>216344.14</v>
      </c>
      <c r="W455" s="4" t="n">
        <v>85335.4</v>
      </c>
      <c r="X455" s="0" t="n">
        <v>36.47</v>
      </c>
      <c r="Y455" s="5" t="n">
        <f aca="false">V455-L455</f>
        <v>214620.14</v>
      </c>
      <c r="Z455" s="6" t="n">
        <f aca="false">Y455/L455</f>
        <v>124.48964037123</v>
      </c>
      <c r="AA455" s="3" t="n">
        <f aca="false">X455-P455</f>
        <v>25.31</v>
      </c>
      <c r="AB455" s="6" t="n">
        <f aca="false">AA455/P455</f>
        <v>2.26792114695341</v>
      </c>
    </row>
    <row r="456" customFormat="false" ht="12.75" hidden="false" customHeight="false" outlineLevel="0" collapsed="false">
      <c r="A456" s="0" t="s">
        <v>535</v>
      </c>
      <c r="B456" s="0" t="n">
        <v>4</v>
      </c>
      <c r="C456" s="0" t="s">
        <v>31</v>
      </c>
      <c r="D456" s="0" t="s">
        <v>31</v>
      </c>
      <c r="E456" s="0" t="n">
        <v>777</v>
      </c>
      <c r="F456" s="0" t="n">
        <v>1790</v>
      </c>
      <c r="G456" s="0" t="n">
        <v>10</v>
      </c>
      <c r="H456" s="0" t="n">
        <v>9</v>
      </c>
      <c r="I456" s="0" t="n">
        <v>9</v>
      </c>
      <c r="J456" s="0" t="n">
        <v>8</v>
      </c>
      <c r="K456" s="0" t="n">
        <v>0.7</v>
      </c>
      <c r="L456" s="1" t="n">
        <v>1790</v>
      </c>
      <c r="M456" s="0" t="n">
        <v>0</v>
      </c>
      <c r="N456" s="0" t="n">
        <v>1790</v>
      </c>
      <c r="O456" s="0" t="n">
        <v>86023</v>
      </c>
      <c r="P456" s="1" t="n">
        <v>20.1</v>
      </c>
      <c r="Q456" s="0" t="n">
        <v>0</v>
      </c>
      <c r="R456" s="0" t="n">
        <v>5</v>
      </c>
      <c r="S456" s="0" t="s">
        <v>42</v>
      </c>
      <c r="T456" s="0" t="str">
        <f aca="false">IF(L456="inf","False","True")</f>
        <v>True</v>
      </c>
      <c r="U456" s="0" t="str">
        <f aca="false">IF(V456="inf","False","True")</f>
        <v>True</v>
      </c>
      <c r="V456" s="4" t="n">
        <v>134107.69</v>
      </c>
      <c r="W456" s="4" t="n">
        <v>81051.6</v>
      </c>
      <c r="X456" s="0" t="n">
        <v>262.11</v>
      </c>
      <c r="Y456" s="5" t="n">
        <f aca="false">V456-L456</f>
        <v>132317.69</v>
      </c>
      <c r="Z456" s="6" t="n">
        <f aca="false">Y456/L456</f>
        <v>73.9204972067039</v>
      </c>
      <c r="AA456" s="3" t="n">
        <f aca="false">X456-P456</f>
        <v>242.01</v>
      </c>
      <c r="AB456" s="6" t="n">
        <f aca="false">AA456/P456</f>
        <v>12.0402985074627</v>
      </c>
    </row>
    <row r="457" customFormat="false" ht="12.75" hidden="false" customHeight="false" outlineLevel="0" collapsed="false">
      <c r="A457" s="0" t="s">
        <v>536</v>
      </c>
      <c r="B457" s="0" t="n">
        <v>0</v>
      </c>
      <c r="C457" s="0" t="s">
        <v>31</v>
      </c>
      <c r="D457" s="0" t="s">
        <v>31</v>
      </c>
      <c r="E457" s="0" t="n">
        <v>1111</v>
      </c>
      <c r="F457" s="0" t="n">
        <v>2521</v>
      </c>
      <c r="G457" s="0" t="n">
        <v>10</v>
      </c>
      <c r="H457" s="0" t="n">
        <v>9</v>
      </c>
      <c r="I457" s="0" t="n">
        <v>9</v>
      </c>
      <c r="J457" s="0" t="n">
        <v>8</v>
      </c>
      <c r="K457" s="0" t="n">
        <v>0.7</v>
      </c>
      <c r="L457" s="1" t="n">
        <v>2510.65</v>
      </c>
      <c r="M457" s="0" t="n">
        <v>0</v>
      </c>
      <c r="N457" s="0" t="n">
        <v>2510.65</v>
      </c>
      <c r="O457" s="0" t="n">
        <v>126450</v>
      </c>
      <c r="P457" s="1" t="n">
        <v>25.77</v>
      </c>
      <c r="Q457" s="0" t="n">
        <v>0</v>
      </c>
      <c r="R457" s="0" t="n">
        <v>5</v>
      </c>
      <c r="S457" s="0" t="s">
        <v>537</v>
      </c>
      <c r="T457" s="0" t="str">
        <f aca="false">IF(L457="inf","False","True")</f>
        <v>True</v>
      </c>
      <c r="U457" s="0" t="str">
        <f aca="false">IF(V457="inf","False","True")</f>
        <v>True</v>
      </c>
      <c r="V457" s="4" t="n">
        <v>425428.1</v>
      </c>
      <c r="W457" s="4" t="n">
        <v>118849.27</v>
      </c>
      <c r="X457" s="0" t="n">
        <v>349.9</v>
      </c>
      <c r="Y457" s="5" t="n">
        <f aca="false">V457-L457</f>
        <v>422917.45</v>
      </c>
      <c r="Z457" s="6" t="n">
        <f aca="false">Y457/L457</f>
        <v>168.44938561727</v>
      </c>
      <c r="AA457" s="3" t="n">
        <f aca="false">X457-P457</f>
        <v>324.13</v>
      </c>
      <c r="AB457" s="6" t="n">
        <f aca="false">AA457/P457</f>
        <v>12.5778036476523</v>
      </c>
    </row>
    <row r="458" customFormat="false" ht="12.75" hidden="false" customHeight="false" outlineLevel="0" collapsed="false">
      <c r="A458" s="0" t="s">
        <v>538</v>
      </c>
      <c r="B458" s="0" t="n">
        <v>1</v>
      </c>
      <c r="C458" s="0" t="s">
        <v>31</v>
      </c>
      <c r="D458" s="0" t="s">
        <v>31</v>
      </c>
      <c r="E458" s="0" t="n">
        <v>1111</v>
      </c>
      <c r="F458" s="0" t="n">
        <v>2585</v>
      </c>
      <c r="G458" s="0" t="n">
        <v>10</v>
      </c>
      <c r="H458" s="0" t="n">
        <v>9</v>
      </c>
      <c r="I458" s="0" t="n">
        <v>9</v>
      </c>
      <c r="J458" s="0" t="n">
        <v>8</v>
      </c>
      <c r="K458" s="0" t="n">
        <v>0.7</v>
      </c>
      <c r="L458" s="1" t="n">
        <v>2585</v>
      </c>
      <c r="M458" s="0" t="n">
        <v>0</v>
      </c>
      <c r="N458" s="0" t="n">
        <v>2585</v>
      </c>
      <c r="O458" s="0" t="n">
        <v>119925</v>
      </c>
      <c r="P458" s="1" t="n">
        <v>17.93</v>
      </c>
      <c r="Q458" s="0" t="n">
        <v>0</v>
      </c>
      <c r="R458" s="0" t="n">
        <v>1</v>
      </c>
      <c r="S458" s="0" t="s">
        <v>42</v>
      </c>
      <c r="T458" s="0" t="str">
        <f aca="false">IF(L458="inf","False","True")</f>
        <v>True</v>
      </c>
      <c r="U458" s="0" t="str">
        <f aca="false">IF(V458="inf","False","True")</f>
        <v>True</v>
      </c>
      <c r="V458" s="4" t="n">
        <v>359851.95</v>
      </c>
      <c r="W458" s="4" t="n">
        <v>107840.05</v>
      </c>
      <c r="X458" s="0" t="n">
        <v>202.88</v>
      </c>
      <c r="Y458" s="5" t="n">
        <f aca="false">V458-L458</f>
        <v>357266.95</v>
      </c>
      <c r="Z458" s="6" t="n">
        <f aca="false">Y458/L458</f>
        <v>138.207717601547</v>
      </c>
      <c r="AA458" s="3" t="n">
        <f aca="false">X458-P458</f>
        <v>184.95</v>
      </c>
      <c r="AB458" s="6" t="n">
        <f aca="false">AA458/P458</f>
        <v>10.3151143335192</v>
      </c>
    </row>
    <row r="459" customFormat="false" ht="12.75" hidden="false" customHeight="false" outlineLevel="0" collapsed="false">
      <c r="A459" s="0" t="s">
        <v>539</v>
      </c>
      <c r="B459" s="0" t="n">
        <v>2</v>
      </c>
      <c r="C459" s="0" t="s">
        <v>31</v>
      </c>
      <c r="D459" s="0" t="s">
        <v>31</v>
      </c>
      <c r="E459" s="0" t="n">
        <v>1111</v>
      </c>
      <c r="F459" s="0" t="n">
        <v>2408</v>
      </c>
      <c r="G459" s="0" t="n">
        <v>10</v>
      </c>
      <c r="H459" s="0" t="n">
        <v>9</v>
      </c>
      <c r="I459" s="0" t="n">
        <v>9</v>
      </c>
      <c r="J459" s="0" t="n">
        <v>8</v>
      </c>
      <c r="K459" s="0" t="n">
        <v>0.7</v>
      </c>
      <c r="L459" s="1" t="n">
        <v>2408</v>
      </c>
      <c r="M459" s="0" t="n">
        <v>0</v>
      </c>
      <c r="N459" s="0" t="n">
        <v>2408</v>
      </c>
      <c r="O459" s="0" t="n">
        <v>120120</v>
      </c>
      <c r="P459" s="1" t="n">
        <v>20.28</v>
      </c>
      <c r="Q459" s="0" t="n">
        <v>0</v>
      </c>
      <c r="R459" s="0" t="n">
        <v>6</v>
      </c>
      <c r="S459" s="0" t="s">
        <v>42</v>
      </c>
      <c r="T459" s="0" t="str">
        <f aca="false">IF(L459="inf","False","True")</f>
        <v>True</v>
      </c>
      <c r="U459" s="0" t="str">
        <f aca="false">IF(V459="inf","False","True")</f>
        <v>False</v>
      </c>
      <c r="V459" s="4" t="s">
        <v>37</v>
      </c>
      <c r="W459" s="4" t="s">
        <v>37</v>
      </c>
      <c r="X459" s="0" t="n">
        <v>42.06</v>
      </c>
      <c r="Y459" s="5" t="e">
        <f aca="false">V459-L459</f>
        <v>#VALUE!</v>
      </c>
      <c r="Z459" s="6" t="e">
        <f aca="false">Y459/L459</f>
        <v>#VALUE!</v>
      </c>
      <c r="AA459" s="3" t="n">
        <f aca="false">X459-P459</f>
        <v>21.78</v>
      </c>
      <c r="AB459" s="6" t="n">
        <f aca="false">AA459/P459</f>
        <v>1.07396449704142</v>
      </c>
    </row>
    <row r="460" customFormat="false" ht="12.75" hidden="false" customHeight="false" outlineLevel="0" collapsed="false">
      <c r="A460" s="0" t="s">
        <v>540</v>
      </c>
      <c r="B460" s="0" t="n">
        <v>3</v>
      </c>
      <c r="C460" s="0" t="s">
        <v>31</v>
      </c>
      <c r="D460" s="0" t="s">
        <v>31</v>
      </c>
      <c r="E460" s="0" t="n">
        <v>1111</v>
      </c>
      <c r="F460" s="0" t="n">
        <v>2468</v>
      </c>
      <c r="G460" s="0" t="n">
        <v>10</v>
      </c>
      <c r="H460" s="0" t="n">
        <v>9</v>
      </c>
      <c r="I460" s="0" t="n">
        <v>9</v>
      </c>
      <c r="J460" s="0" t="n">
        <v>8</v>
      </c>
      <c r="K460" s="0" t="n">
        <v>0.7</v>
      </c>
      <c r="L460" s="1" t="n">
        <v>2468</v>
      </c>
      <c r="M460" s="0" t="n">
        <v>0</v>
      </c>
      <c r="N460" s="0" t="n">
        <v>2468</v>
      </c>
      <c r="O460" s="0" t="n">
        <v>130293</v>
      </c>
      <c r="P460" s="1" t="n">
        <v>10.84</v>
      </c>
      <c r="Q460" s="0" t="n">
        <v>0</v>
      </c>
      <c r="R460" s="0" t="n">
        <v>1</v>
      </c>
      <c r="S460" s="0" t="s">
        <v>42</v>
      </c>
      <c r="T460" s="0" t="str">
        <f aca="false">IF(L460="inf","False","True")</f>
        <v>True</v>
      </c>
      <c r="U460" s="0" t="str">
        <f aca="false">IF(V460="inf","False","True")</f>
        <v>True</v>
      </c>
      <c r="V460" s="4" t="n">
        <v>350579.99</v>
      </c>
      <c r="W460" s="4" t="n">
        <v>112942.29</v>
      </c>
      <c r="X460" s="0" t="n">
        <v>43.1</v>
      </c>
      <c r="Y460" s="5" t="n">
        <f aca="false">V460-L460</f>
        <v>348111.99</v>
      </c>
      <c r="Z460" s="6" t="n">
        <f aca="false">Y460/L460</f>
        <v>141.050239059968</v>
      </c>
      <c r="AA460" s="3" t="n">
        <f aca="false">X460-P460</f>
        <v>32.26</v>
      </c>
      <c r="AB460" s="6" t="n">
        <f aca="false">AA460/P460</f>
        <v>2.9760147601476</v>
      </c>
    </row>
    <row r="461" customFormat="false" ht="12.75" hidden="false" customHeight="false" outlineLevel="0" collapsed="false">
      <c r="A461" s="0" t="s">
        <v>541</v>
      </c>
      <c r="B461" s="0" t="n">
        <v>4</v>
      </c>
      <c r="C461" s="0" t="s">
        <v>31</v>
      </c>
      <c r="D461" s="0" t="s">
        <v>31</v>
      </c>
      <c r="E461" s="0" t="n">
        <v>1111</v>
      </c>
      <c r="F461" s="0" t="n">
        <v>2562</v>
      </c>
      <c r="G461" s="0" t="n">
        <v>10</v>
      </c>
      <c r="H461" s="0" t="n">
        <v>9</v>
      </c>
      <c r="I461" s="0" t="n">
        <v>9</v>
      </c>
      <c r="J461" s="0" t="n">
        <v>8</v>
      </c>
      <c r="K461" s="0" t="n">
        <v>0.7</v>
      </c>
      <c r="L461" s="1" t="n">
        <v>2562</v>
      </c>
      <c r="M461" s="0" t="n">
        <v>0</v>
      </c>
      <c r="N461" s="0" t="n">
        <v>2562</v>
      </c>
      <c r="O461" s="0" t="n">
        <v>122881</v>
      </c>
      <c r="P461" s="1" t="n">
        <v>14.73</v>
      </c>
      <c r="Q461" s="0" t="n">
        <v>0</v>
      </c>
      <c r="R461" s="0" t="n">
        <v>1</v>
      </c>
      <c r="S461" s="0" t="s">
        <v>42</v>
      </c>
      <c r="T461" s="0" t="str">
        <f aca="false">IF(L461="inf","False","True")</f>
        <v>True</v>
      </c>
      <c r="U461" s="0" t="str">
        <f aca="false">IF(V461="inf","False","True")</f>
        <v>True</v>
      </c>
      <c r="V461" s="4" t="n">
        <v>113157.67</v>
      </c>
      <c r="W461" s="4" t="n">
        <v>116550.6</v>
      </c>
      <c r="X461" s="0" t="n">
        <v>11.1</v>
      </c>
      <c r="Y461" s="5" t="n">
        <f aca="false">V461-L461</f>
        <v>110595.67</v>
      </c>
      <c r="Z461" s="6" t="n">
        <f aca="false">Y461/L461</f>
        <v>43.1677088212334</v>
      </c>
      <c r="AA461" s="3" t="n">
        <f aca="false">X461-P461</f>
        <v>-3.63</v>
      </c>
      <c r="AB461" s="6" t="n">
        <f aca="false">AA461/P461</f>
        <v>-0.246435845213849</v>
      </c>
    </row>
    <row r="462" customFormat="false" ht="12.75" hidden="false" customHeight="false" outlineLevel="0" collapsed="false">
      <c r="A462" s="0" t="s">
        <v>542</v>
      </c>
      <c r="B462" s="0" t="n">
        <v>0</v>
      </c>
      <c r="C462" s="0" t="s">
        <v>31</v>
      </c>
      <c r="D462" s="0" t="s">
        <v>31</v>
      </c>
      <c r="E462" s="0" t="n">
        <v>333</v>
      </c>
      <c r="F462" s="0" t="n">
        <v>754</v>
      </c>
      <c r="G462" s="0" t="n">
        <v>10</v>
      </c>
      <c r="H462" s="0" t="n">
        <v>9</v>
      </c>
      <c r="I462" s="0" t="n">
        <v>9</v>
      </c>
      <c r="J462" s="0" t="n">
        <v>12</v>
      </c>
      <c r="K462" s="0" t="n">
        <v>0.7</v>
      </c>
      <c r="L462" s="1" t="n">
        <v>754</v>
      </c>
      <c r="M462" s="0" t="n">
        <v>0</v>
      </c>
      <c r="N462" s="0" t="n">
        <v>754</v>
      </c>
      <c r="O462" s="0" t="n">
        <v>40288</v>
      </c>
      <c r="P462" s="1" t="n">
        <v>24.23</v>
      </c>
      <c r="Q462" s="0" t="n">
        <v>0</v>
      </c>
      <c r="R462" s="0" t="n">
        <v>2</v>
      </c>
      <c r="S462" s="0" t="s">
        <v>42</v>
      </c>
      <c r="T462" s="0" t="str">
        <f aca="false">IF(L462="inf","False","True")</f>
        <v>True</v>
      </c>
      <c r="U462" s="0" t="str">
        <f aca="false">IF(V462="inf","False","True")</f>
        <v>True</v>
      </c>
      <c r="V462" s="4" t="n">
        <v>112794.98</v>
      </c>
      <c r="W462" s="4" t="n">
        <v>34437.65</v>
      </c>
      <c r="X462" s="0" t="n">
        <v>148.74</v>
      </c>
      <c r="Y462" s="5" t="n">
        <f aca="false">V462-L462</f>
        <v>112040.98</v>
      </c>
      <c r="Z462" s="6" t="n">
        <f aca="false">Y462/L462</f>
        <v>148.595464190981</v>
      </c>
      <c r="AA462" s="3" t="n">
        <f aca="false">X462-P462</f>
        <v>124.51</v>
      </c>
      <c r="AB462" s="6" t="n">
        <f aca="false">AA462/P462</f>
        <v>5.13867106892282</v>
      </c>
    </row>
    <row r="463" customFormat="false" ht="12.75" hidden="false" customHeight="false" outlineLevel="0" collapsed="false">
      <c r="A463" s="0" t="s">
        <v>543</v>
      </c>
      <c r="B463" s="0" t="n">
        <v>1</v>
      </c>
      <c r="C463" s="0" t="s">
        <v>31</v>
      </c>
      <c r="D463" s="0" t="s">
        <v>31</v>
      </c>
      <c r="E463" s="0" t="n">
        <v>333</v>
      </c>
      <c r="F463" s="0" t="n">
        <v>812</v>
      </c>
      <c r="G463" s="0" t="n">
        <v>10</v>
      </c>
      <c r="H463" s="0" t="n">
        <v>9</v>
      </c>
      <c r="I463" s="0" t="n">
        <v>9</v>
      </c>
      <c r="J463" s="0" t="n">
        <v>12</v>
      </c>
      <c r="K463" s="0" t="n">
        <v>0.7</v>
      </c>
      <c r="L463" s="1" t="n">
        <v>812</v>
      </c>
      <c r="M463" s="0" t="n">
        <v>0</v>
      </c>
      <c r="N463" s="0" t="n">
        <v>812</v>
      </c>
      <c r="O463" s="0" t="n">
        <v>42941</v>
      </c>
      <c r="P463" s="1" t="n">
        <v>13.93</v>
      </c>
      <c r="Q463" s="0" t="n">
        <v>0</v>
      </c>
      <c r="R463" s="0" t="n">
        <v>1</v>
      </c>
      <c r="S463" s="0" t="s">
        <v>42</v>
      </c>
      <c r="T463" s="0" t="str">
        <f aca="false">IF(L463="inf","False","True")</f>
        <v>True</v>
      </c>
      <c r="U463" s="0" t="str">
        <f aca="false">IF(V463="inf","False","True")</f>
        <v>True</v>
      </c>
      <c r="V463" s="4" t="n">
        <v>82993.87</v>
      </c>
      <c r="W463" s="4" t="n">
        <v>35217.93</v>
      </c>
      <c r="X463" s="0" t="n">
        <v>492.98</v>
      </c>
      <c r="Y463" s="5" t="n">
        <f aca="false">V463-L463</f>
        <v>82181.87</v>
      </c>
      <c r="Z463" s="6" t="n">
        <f aca="false">Y463/L463</f>
        <v>101.209199507389</v>
      </c>
      <c r="AA463" s="3" t="n">
        <f aca="false">X463-P463</f>
        <v>479.05</v>
      </c>
      <c r="AB463" s="6" t="n">
        <f aca="false">AA463/P463</f>
        <v>34.3898061737258</v>
      </c>
    </row>
    <row r="464" customFormat="false" ht="12.75" hidden="false" customHeight="false" outlineLevel="0" collapsed="false">
      <c r="A464" s="0" t="s">
        <v>544</v>
      </c>
      <c r="B464" s="0" t="n">
        <v>2</v>
      </c>
      <c r="C464" s="0" t="s">
        <v>31</v>
      </c>
      <c r="D464" s="0" t="s">
        <v>31</v>
      </c>
      <c r="E464" s="0" t="n">
        <v>333</v>
      </c>
      <c r="F464" s="0" t="n">
        <v>788</v>
      </c>
      <c r="G464" s="0" t="n">
        <v>10</v>
      </c>
      <c r="H464" s="0" t="n">
        <v>9</v>
      </c>
      <c r="I464" s="0" t="n">
        <v>9</v>
      </c>
      <c r="J464" s="0" t="n">
        <v>12</v>
      </c>
      <c r="K464" s="0" t="n">
        <v>0.7</v>
      </c>
      <c r="L464" s="1" t="n">
        <v>788</v>
      </c>
      <c r="M464" s="0" t="n">
        <v>0</v>
      </c>
      <c r="N464" s="0" t="n">
        <v>788</v>
      </c>
      <c r="O464" s="0" t="n">
        <v>40286</v>
      </c>
      <c r="P464" s="1" t="n">
        <v>73.08</v>
      </c>
      <c r="Q464" s="0" t="n">
        <v>0</v>
      </c>
      <c r="R464" s="0" t="n">
        <v>5</v>
      </c>
      <c r="S464" s="0" t="s">
        <v>42</v>
      </c>
      <c r="T464" s="0" t="str">
        <f aca="false">IF(L464="inf","False","True")</f>
        <v>True</v>
      </c>
      <c r="U464" s="0" t="str">
        <f aca="false">IF(V464="inf","False","True")</f>
        <v>True</v>
      </c>
      <c r="V464" s="4" t="n">
        <v>75913.46</v>
      </c>
      <c r="W464" s="4" t="n">
        <v>33454.69</v>
      </c>
      <c r="X464" s="0" t="n">
        <v>222.63</v>
      </c>
      <c r="Y464" s="5" t="n">
        <f aca="false">V464-L464</f>
        <v>75125.46</v>
      </c>
      <c r="Z464" s="6" t="n">
        <f aca="false">Y464/L464</f>
        <v>95.3368781725888</v>
      </c>
      <c r="AA464" s="3" t="n">
        <f aca="false">X464-P464</f>
        <v>149.55</v>
      </c>
      <c r="AB464" s="6" t="n">
        <f aca="false">AA464/P464</f>
        <v>2.04638752052545</v>
      </c>
    </row>
    <row r="465" customFormat="false" ht="12.75" hidden="false" customHeight="false" outlineLevel="0" collapsed="false">
      <c r="A465" s="0" t="s">
        <v>545</v>
      </c>
      <c r="B465" s="0" t="n">
        <v>3</v>
      </c>
      <c r="C465" s="0" t="s">
        <v>31</v>
      </c>
      <c r="D465" s="0" t="s">
        <v>31</v>
      </c>
      <c r="E465" s="0" t="n">
        <v>333</v>
      </c>
      <c r="F465" s="0" t="n">
        <v>764</v>
      </c>
      <c r="G465" s="0" t="n">
        <v>10</v>
      </c>
      <c r="H465" s="0" t="n">
        <v>9</v>
      </c>
      <c r="I465" s="0" t="n">
        <v>9</v>
      </c>
      <c r="J465" s="0" t="n">
        <v>12</v>
      </c>
      <c r="K465" s="0" t="n">
        <v>0.7</v>
      </c>
      <c r="L465" s="1" t="n">
        <v>764</v>
      </c>
      <c r="M465" s="0" t="n">
        <v>0</v>
      </c>
      <c r="N465" s="0" t="n">
        <v>764</v>
      </c>
      <c r="O465" s="0" t="n">
        <v>38504</v>
      </c>
      <c r="P465" s="1" t="n">
        <v>28.16</v>
      </c>
      <c r="Q465" s="0" t="n">
        <v>0</v>
      </c>
      <c r="R465" s="0" t="n">
        <v>5</v>
      </c>
      <c r="S465" s="0" t="s">
        <v>42</v>
      </c>
      <c r="T465" s="0" t="str">
        <f aca="false">IF(L465="inf","False","True")</f>
        <v>True</v>
      </c>
      <c r="U465" s="0" t="str">
        <f aca="false">IF(V465="inf","False","True")</f>
        <v>True</v>
      </c>
      <c r="V465" s="4" t="n">
        <v>118680.92</v>
      </c>
      <c r="W465" s="4" t="n">
        <v>34298.54</v>
      </c>
      <c r="X465" s="0" t="n">
        <v>0</v>
      </c>
      <c r="Y465" s="5" t="n">
        <f aca="false">V465-L465</f>
        <v>117916.92</v>
      </c>
      <c r="Z465" s="6" t="n">
        <f aca="false">Y465/L465</f>
        <v>154.341518324607</v>
      </c>
      <c r="AA465" s="3" t="n">
        <f aca="false">X465-P465</f>
        <v>-28.16</v>
      </c>
      <c r="AB465" s="6" t="n">
        <f aca="false">AA465/P465</f>
        <v>-1</v>
      </c>
    </row>
    <row r="466" customFormat="false" ht="12.75" hidden="false" customHeight="false" outlineLevel="0" collapsed="false">
      <c r="A466" s="0" t="s">
        <v>546</v>
      </c>
      <c r="B466" s="0" t="n">
        <v>4</v>
      </c>
      <c r="C466" s="0" t="s">
        <v>31</v>
      </c>
      <c r="D466" s="0" t="s">
        <v>31</v>
      </c>
      <c r="E466" s="0" t="n">
        <v>333</v>
      </c>
      <c r="F466" s="0" t="n">
        <v>806</v>
      </c>
      <c r="G466" s="0" t="n">
        <v>10</v>
      </c>
      <c r="H466" s="0" t="n">
        <v>9</v>
      </c>
      <c r="I466" s="0" t="n">
        <v>9</v>
      </c>
      <c r="J466" s="0" t="n">
        <v>12</v>
      </c>
      <c r="K466" s="0" t="n">
        <v>0.7</v>
      </c>
      <c r="L466" s="1" t="n">
        <v>806</v>
      </c>
      <c r="M466" s="0" t="n">
        <v>0</v>
      </c>
      <c r="N466" s="0" t="n">
        <v>806</v>
      </c>
      <c r="O466" s="0" t="n">
        <v>40586</v>
      </c>
      <c r="P466" s="1" t="n">
        <v>29.65</v>
      </c>
      <c r="Q466" s="0" t="n">
        <v>0</v>
      </c>
      <c r="R466" s="0" t="n">
        <v>1</v>
      </c>
      <c r="S466" s="0" t="s">
        <v>42</v>
      </c>
      <c r="T466" s="0" t="str">
        <f aca="false">IF(L466="inf","False","True")</f>
        <v>True</v>
      </c>
      <c r="U466" s="0" t="str">
        <f aca="false">IF(V466="inf","False","True")</f>
        <v>True</v>
      </c>
      <c r="V466" s="4" t="n">
        <v>69175.05</v>
      </c>
      <c r="W466" s="4" t="n">
        <v>38622.91</v>
      </c>
      <c r="X466" s="0" t="n">
        <v>167.94</v>
      </c>
      <c r="Y466" s="5" t="n">
        <f aca="false">V466-L466</f>
        <v>68369.05</v>
      </c>
      <c r="Z466" s="6" t="n">
        <f aca="false">Y466/L466</f>
        <v>84.8251240694789</v>
      </c>
      <c r="AA466" s="3" t="n">
        <f aca="false">X466-P466</f>
        <v>138.29</v>
      </c>
      <c r="AB466" s="6" t="n">
        <f aca="false">AA466/P466</f>
        <v>4.66408094435076</v>
      </c>
    </row>
    <row r="467" customFormat="false" ht="12.75" hidden="false" customHeight="false" outlineLevel="0" collapsed="false">
      <c r="A467" s="0" t="s">
        <v>547</v>
      </c>
      <c r="B467" s="0" t="n">
        <v>0</v>
      </c>
      <c r="C467" s="0" t="s">
        <v>31</v>
      </c>
      <c r="D467" s="0" t="s">
        <v>31</v>
      </c>
      <c r="E467" s="0" t="n">
        <v>555</v>
      </c>
      <c r="F467" s="0" t="n">
        <v>1264</v>
      </c>
      <c r="G467" s="0" t="n">
        <v>10</v>
      </c>
      <c r="H467" s="0" t="n">
        <v>9</v>
      </c>
      <c r="I467" s="0" t="n">
        <v>9</v>
      </c>
      <c r="J467" s="0" t="n">
        <v>12</v>
      </c>
      <c r="K467" s="0" t="n">
        <v>0.7</v>
      </c>
      <c r="L467" s="1" t="n">
        <v>1264</v>
      </c>
      <c r="M467" s="0" t="n">
        <v>0</v>
      </c>
      <c r="N467" s="0" t="n">
        <v>1264</v>
      </c>
      <c r="O467" s="0" t="n">
        <v>67082</v>
      </c>
      <c r="P467" s="1" t="n">
        <v>23.94</v>
      </c>
      <c r="Q467" s="0" t="n">
        <v>0</v>
      </c>
      <c r="R467" s="0" t="n">
        <v>1</v>
      </c>
      <c r="S467" s="0" t="s">
        <v>42</v>
      </c>
      <c r="T467" s="0" t="str">
        <f aca="false">IF(L467="inf","False","True")</f>
        <v>True</v>
      </c>
      <c r="U467" s="0" t="str">
        <f aca="false">IF(V467="inf","False","True")</f>
        <v>True</v>
      </c>
      <c r="V467" s="4" t="n">
        <v>155771.87</v>
      </c>
      <c r="W467" s="4" t="n">
        <v>62086.31</v>
      </c>
      <c r="X467" s="0" t="n">
        <v>428.53</v>
      </c>
      <c r="Y467" s="5" t="n">
        <f aca="false">V467-L467</f>
        <v>154507.87</v>
      </c>
      <c r="Z467" s="6" t="n">
        <f aca="false">Y467/L467</f>
        <v>122.237238924051</v>
      </c>
      <c r="AA467" s="3" t="n">
        <f aca="false">X467-P467</f>
        <v>404.59</v>
      </c>
      <c r="AB467" s="6" t="n">
        <f aca="false">AA467/P467</f>
        <v>16.9001670843776</v>
      </c>
    </row>
    <row r="468" customFormat="false" ht="12.75" hidden="false" customHeight="false" outlineLevel="0" collapsed="false">
      <c r="A468" s="0" t="s">
        <v>548</v>
      </c>
      <c r="B468" s="0" t="n">
        <v>1</v>
      </c>
      <c r="C468" s="0" t="s">
        <v>31</v>
      </c>
      <c r="D468" s="0" t="s">
        <v>31</v>
      </c>
      <c r="E468" s="0" t="n">
        <v>555</v>
      </c>
      <c r="F468" s="0" t="n">
        <v>1363</v>
      </c>
      <c r="G468" s="0" t="n">
        <v>10</v>
      </c>
      <c r="H468" s="0" t="n">
        <v>9</v>
      </c>
      <c r="I468" s="0" t="n">
        <v>9</v>
      </c>
      <c r="J468" s="0" t="n">
        <v>12</v>
      </c>
      <c r="K468" s="0" t="n">
        <v>0.7</v>
      </c>
      <c r="L468" s="1" t="n">
        <v>1363</v>
      </c>
      <c r="M468" s="0" t="n">
        <v>0</v>
      </c>
      <c r="N468" s="0" t="n">
        <v>1363</v>
      </c>
      <c r="O468" s="0" t="n">
        <v>71518</v>
      </c>
      <c r="P468" s="1" t="n">
        <v>14.82</v>
      </c>
      <c r="Q468" s="0" t="n">
        <v>0</v>
      </c>
      <c r="R468" s="0" t="n">
        <v>1</v>
      </c>
      <c r="S468" s="0" t="s">
        <v>42</v>
      </c>
      <c r="T468" s="0" t="str">
        <f aca="false">IF(L468="inf","False","True")</f>
        <v>True</v>
      </c>
      <c r="U468" s="0" t="str">
        <f aca="false">IF(V468="inf","False","True")</f>
        <v>True</v>
      </c>
      <c r="V468" s="4" t="n">
        <v>124756.09</v>
      </c>
      <c r="W468" s="4" t="n">
        <v>58757.59</v>
      </c>
      <c r="X468" s="0" t="n">
        <v>212.83</v>
      </c>
      <c r="Y468" s="5" t="n">
        <f aca="false">V468-L468</f>
        <v>123393.09</v>
      </c>
      <c r="Z468" s="6" t="n">
        <f aca="false">Y468/L468</f>
        <v>90.5305135730007</v>
      </c>
      <c r="AA468" s="3" t="n">
        <f aca="false">X468-P468</f>
        <v>198.01</v>
      </c>
      <c r="AB468" s="6" t="n">
        <f aca="false">AA468/P468</f>
        <v>13.3609986504723</v>
      </c>
    </row>
    <row r="469" customFormat="false" ht="12.75" hidden="false" customHeight="false" outlineLevel="0" collapsed="false">
      <c r="A469" s="0" t="s">
        <v>549</v>
      </c>
      <c r="B469" s="0" t="n">
        <v>2</v>
      </c>
      <c r="C469" s="0" t="s">
        <v>31</v>
      </c>
      <c r="D469" s="0" t="s">
        <v>31</v>
      </c>
      <c r="E469" s="0" t="n">
        <v>555</v>
      </c>
      <c r="F469" s="0" t="n">
        <v>1322</v>
      </c>
      <c r="G469" s="0" t="n">
        <v>10</v>
      </c>
      <c r="H469" s="0" t="n">
        <v>9</v>
      </c>
      <c r="I469" s="0" t="n">
        <v>9</v>
      </c>
      <c r="J469" s="0" t="n">
        <v>12</v>
      </c>
      <c r="K469" s="0" t="n">
        <v>0.7</v>
      </c>
      <c r="L469" s="1" t="n">
        <v>1322</v>
      </c>
      <c r="M469" s="0" t="n">
        <v>0</v>
      </c>
      <c r="N469" s="0" t="n">
        <v>1322</v>
      </c>
      <c r="O469" s="0" t="n">
        <v>67106</v>
      </c>
      <c r="P469" s="1" t="n">
        <v>20.97</v>
      </c>
      <c r="Q469" s="0" t="n">
        <v>0</v>
      </c>
      <c r="R469" s="0" t="n">
        <v>1</v>
      </c>
      <c r="S469" s="0" t="s">
        <v>42</v>
      </c>
      <c r="T469" s="0" t="str">
        <f aca="false">IF(L469="inf","False","True")</f>
        <v>True</v>
      </c>
      <c r="U469" s="0" t="str">
        <f aca="false">IF(V469="inf","False","True")</f>
        <v>True</v>
      </c>
      <c r="V469" s="4" t="n">
        <v>142911.03</v>
      </c>
      <c r="W469" s="4" t="n">
        <v>57358.91</v>
      </c>
      <c r="X469" s="0" t="n">
        <v>215.71</v>
      </c>
      <c r="Y469" s="5" t="n">
        <f aca="false">V469-L469</f>
        <v>141589.03</v>
      </c>
      <c r="Z469" s="6" t="n">
        <f aca="false">Y469/L469</f>
        <v>107.102140695915</v>
      </c>
      <c r="AA469" s="3" t="n">
        <f aca="false">X469-P469</f>
        <v>194.74</v>
      </c>
      <c r="AB469" s="6" t="n">
        <f aca="false">AA469/P469</f>
        <v>9.28659990462566</v>
      </c>
    </row>
    <row r="470" customFormat="false" ht="12.75" hidden="false" customHeight="false" outlineLevel="0" collapsed="false">
      <c r="A470" s="0" t="s">
        <v>550</v>
      </c>
      <c r="B470" s="0" t="n">
        <v>3</v>
      </c>
      <c r="C470" s="0" t="s">
        <v>31</v>
      </c>
      <c r="D470" s="0" t="s">
        <v>31</v>
      </c>
      <c r="E470" s="0" t="n">
        <v>555</v>
      </c>
      <c r="F470" s="0" t="n">
        <v>1282</v>
      </c>
      <c r="G470" s="0" t="n">
        <v>10</v>
      </c>
      <c r="H470" s="0" t="n">
        <v>9</v>
      </c>
      <c r="I470" s="0" t="n">
        <v>9</v>
      </c>
      <c r="J470" s="0" t="n">
        <v>12</v>
      </c>
      <c r="K470" s="0" t="n">
        <v>0.7</v>
      </c>
      <c r="L470" s="1" t="n">
        <v>1282</v>
      </c>
      <c r="M470" s="0" t="n">
        <v>0</v>
      </c>
      <c r="N470" s="0" t="n">
        <v>1282</v>
      </c>
      <c r="O470" s="0" t="n">
        <v>64081</v>
      </c>
      <c r="P470" s="1" t="n">
        <v>17.53</v>
      </c>
      <c r="Q470" s="0" t="n">
        <v>0</v>
      </c>
      <c r="R470" s="0" t="n">
        <v>1</v>
      </c>
      <c r="S470" s="0" t="s">
        <v>42</v>
      </c>
      <c r="T470" s="0" t="str">
        <f aca="false">IF(L470="inf","False","True")</f>
        <v>True</v>
      </c>
      <c r="U470" s="0" t="str">
        <f aca="false">IF(V470="inf","False","True")</f>
        <v>True</v>
      </c>
      <c r="V470" s="4" t="n">
        <v>265272.77</v>
      </c>
      <c r="W470" s="4" t="n">
        <v>57123.93</v>
      </c>
      <c r="X470" s="0" t="n">
        <v>180.1</v>
      </c>
      <c r="Y470" s="5" t="n">
        <f aca="false">V470-L470</f>
        <v>263990.77</v>
      </c>
      <c r="Z470" s="6" t="n">
        <f aca="false">Y470/L470</f>
        <v>205.921037441498</v>
      </c>
      <c r="AA470" s="3" t="n">
        <f aca="false">X470-P470</f>
        <v>162.57</v>
      </c>
      <c r="AB470" s="6" t="n">
        <f aca="false">AA470/P470</f>
        <v>9.27381631488876</v>
      </c>
    </row>
    <row r="471" customFormat="false" ht="12.75" hidden="false" customHeight="false" outlineLevel="0" collapsed="false">
      <c r="A471" s="0" t="s">
        <v>551</v>
      </c>
      <c r="B471" s="0" t="n">
        <v>4</v>
      </c>
      <c r="C471" s="0" t="s">
        <v>31</v>
      </c>
      <c r="D471" s="0" t="s">
        <v>31</v>
      </c>
      <c r="E471" s="0" t="n">
        <v>555</v>
      </c>
      <c r="F471" s="0" t="n">
        <v>1352</v>
      </c>
      <c r="G471" s="0" t="n">
        <v>10</v>
      </c>
      <c r="H471" s="0" t="n">
        <v>9</v>
      </c>
      <c r="I471" s="0" t="n">
        <v>9</v>
      </c>
      <c r="J471" s="0" t="n">
        <v>12</v>
      </c>
      <c r="K471" s="0" t="n">
        <v>0.7</v>
      </c>
      <c r="L471" s="1" t="n">
        <v>1352</v>
      </c>
      <c r="M471" s="0" t="n">
        <v>0</v>
      </c>
      <c r="N471" s="0" t="n">
        <v>1352</v>
      </c>
      <c r="O471" s="0" t="n">
        <v>67612</v>
      </c>
      <c r="P471" s="1" t="n">
        <v>29.68</v>
      </c>
      <c r="Q471" s="0" t="n">
        <v>0</v>
      </c>
      <c r="R471" s="0" t="n">
        <v>1</v>
      </c>
      <c r="S471" s="0" t="s">
        <v>42</v>
      </c>
      <c r="T471" s="0" t="str">
        <f aca="false">IF(L471="inf","False","True")</f>
        <v>True</v>
      </c>
      <c r="U471" s="0" t="str">
        <f aca="false">IF(V471="inf","False","True")</f>
        <v>True</v>
      </c>
      <c r="V471" s="4" t="n">
        <v>157915.64</v>
      </c>
      <c r="W471" s="4" t="n">
        <v>61457.81</v>
      </c>
      <c r="X471" s="0" t="n">
        <v>119.15</v>
      </c>
      <c r="Y471" s="5" t="n">
        <f aca="false">V471-L471</f>
        <v>156563.64</v>
      </c>
      <c r="Z471" s="6" t="n">
        <f aca="false">Y471/L471</f>
        <v>115.80150887574</v>
      </c>
      <c r="AA471" s="3" t="n">
        <f aca="false">X471-P471</f>
        <v>89.47</v>
      </c>
      <c r="AB471" s="6" t="n">
        <f aca="false">AA471/P471</f>
        <v>3.01448787061995</v>
      </c>
    </row>
    <row r="472" customFormat="false" ht="12.75" hidden="false" customHeight="false" outlineLevel="0" collapsed="false">
      <c r="A472" s="0" t="s">
        <v>552</v>
      </c>
      <c r="B472" s="0" t="n">
        <v>0</v>
      </c>
      <c r="C472" s="0" t="s">
        <v>31</v>
      </c>
      <c r="D472" s="0" t="s">
        <v>31</v>
      </c>
      <c r="E472" s="0" t="n">
        <v>777</v>
      </c>
      <c r="F472" s="0" t="n">
        <v>1775</v>
      </c>
      <c r="G472" s="0" t="n">
        <v>10</v>
      </c>
      <c r="H472" s="0" t="n">
        <v>9</v>
      </c>
      <c r="I472" s="0" t="n">
        <v>9</v>
      </c>
      <c r="J472" s="0" t="n">
        <v>12</v>
      </c>
      <c r="K472" s="0" t="n">
        <v>0.7</v>
      </c>
      <c r="L472" s="1" t="n">
        <v>1775</v>
      </c>
      <c r="M472" s="0" t="n">
        <v>0</v>
      </c>
      <c r="N472" s="0" t="n">
        <v>1775</v>
      </c>
      <c r="O472" s="0" t="n">
        <v>93897</v>
      </c>
      <c r="P472" s="1" t="n">
        <v>21.98</v>
      </c>
      <c r="Q472" s="0" t="n">
        <v>0</v>
      </c>
      <c r="R472" s="0" t="n">
        <v>1</v>
      </c>
      <c r="S472" s="0" t="s">
        <v>42</v>
      </c>
      <c r="T472" s="0" t="str">
        <f aca="false">IF(L472="inf","False","True")</f>
        <v>True</v>
      </c>
      <c r="U472" s="0" t="str">
        <f aca="false">IF(V472="inf","False","True")</f>
        <v>True</v>
      </c>
      <c r="V472" s="4" t="n">
        <v>227707.65</v>
      </c>
      <c r="W472" s="4" t="n">
        <v>88888.49</v>
      </c>
      <c r="X472" s="0" t="n">
        <v>241.66</v>
      </c>
      <c r="Y472" s="5" t="n">
        <f aca="false">V472-L472</f>
        <v>225932.65</v>
      </c>
      <c r="Z472" s="6" t="n">
        <f aca="false">Y472/L472</f>
        <v>127.286</v>
      </c>
      <c r="AA472" s="3" t="n">
        <f aca="false">X472-P472</f>
        <v>219.68</v>
      </c>
      <c r="AB472" s="6" t="n">
        <f aca="false">AA472/P472</f>
        <v>9.99454049135578</v>
      </c>
    </row>
    <row r="473" customFormat="false" ht="12.75" hidden="false" customHeight="false" outlineLevel="0" collapsed="false">
      <c r="A473" s="0" t="s">
        <v>553</v>
      </c>
      <c r="B473" s="0" t="n">
        <v>1</v>
      </c>
      <c r="C473" s="0" t="s">
        <v>31</v>
      </c>
      <c r="D473" s="0" t="s">
        <v>31</v>
      </c>
      <c r="E473" s="0" t="n">
        <v>777</v>
      </c>
      <c r="F473" s="0" t="n">
        <v>1913</v>
      </c>
      <c r="G473" s="0" t="n">
        <v>10</v>
      </c>
      <c r="H473" s="0" t="n">
        <v>9</v>
      </c>
      <c r="I473" s="0" t="n">
        <v>9</v>
      </c>
      <c r="J473" s="0" t="n">
        <v>12</v>
      </c>
      <c r="K473" s="0" t="n">
        <v>0.7</v>
      </c>
      <c r="L473" s="1" t="n">
        <v>1913</v>
      </c>
      <c r="M473" s="0" t="n">
        <v>0</v>
      </c>
      <c r="N473" s="0" t="n">
        <v>1913</v>
      </c>
      <c r="O473" s="0" t="n">
        <v>100113</v>
      </c>
      <c r="P473" s="1" t="n">
        <v>21.81</v>
      </c>
      <c r="Q473" s="0" t="n">
        <v>0</v>
      </c>
      <c r="R473" s="0" t="n">
        <v>5</v>
      </c>
      <c r="S473" s="0" t="s">
        <v>42</v>
      </c>
      <c r="T473" s="0" t="str">
        <f aca="false">IF(L473="inf","False","True")</f>
        <v>True</v>
      </c>
      <c r="U473" s="0" t="str">
        <f aca="false">IF(V473="inf","False","True")</f>
        <v>True</v>
      </c>
      <c r="V473" s="4" t="n">
        <v>147029.24</v>
      </c>
      <c r="W473" s="4" t="n">
        <v>83947.74</v>
      </c>
      <c r="X473" s="0" t="n">
        <v>586.04</v>
      </c>
      <c r="Y473" s="5" t="n">
        <f aca="false">V473-L473</f>
        <v>145116.24</v>
      </c>
      <c r="Z473" s="6" t="n">
        <f aca="false">Y473/L473</f>
        <v>75.8579404077365</v>
      </c>
      <c r="AA473" s="3" t="n">
        <f aca="false">X473-P473</f>
        <v>564.23</v>
      </c>
      <c r="AB473" s="6" t="n">
        <f aca="false">AA473/P473</f>
        <v>25.8702430077946</v>
      </c>
    </row>
    <row r="474" customFormat="false" ht="12.75" hidden="false" customHeight="false" outlineLevel="0" collapsed="false">
      <c r="A474" s="0" t="s">
        <v>554</v>
      </c>
      <c r="B474" s="0" t="n">
        <v>2</v>
      </c>
      <c r="C474" s="0" t="s">
        <v>31</v>
      </c>
      <c r="D474" s="0" t="s">
        <v>31</v>
      </c>
      <c r="E474" s="0" t="n">
        <v>777</v>
      </c>
      <c r="F474" s="0" t="n">
        <v>1855</v>
      </c>
      <c r="G474" s="0" t="n">
        <v>10</v>
      </c>
      <c r="H474" s="0" t="n">
        <v>9</v>
      </c>
      <c r="I474" s="0" t="n">
        <v>9</v>
      </c>
      <c r="J474" s="0" t="n">
        <v>12</v>
      </c>
      <c r="K474" s="0" t="n">
        <v>0.7</v>
      </c>
      <c r="L474" s="1" t="n">
        <v>1855</v>
      </c>
      <c r="M474" s="0" t="n">
        <v>0</v>
      </c>
      <c r="N474" s="0" t="n">
        <v>1855</v>
      </c>
      <c r="O474" s="0" t="n">
        <v>93971</v>
      </c>
      <c r="P474" s="1" t="n">
        <v>21.36</v>
      </c>
      <c r="Q474" s="0" t="n">
        <v>0</v>
      </c>
      <c r="R474" s="0" t="n">
        <v>1</v>
      </c>
      <c r="S474" s="0" t="s">
        <v>42</v>
      </c>
      <c r="T474" s="0" t="str">
        <f aca="false">IF(L474="inf","False","True")</f>
        <v>True</v>
      </c>
      <c r="U474" s="0" t="str">
        <f aca="false">IF(V474="inf","False","True")</f>
        <v>True</v>
      </c>
      <c r="V474" s="4" t="n">
        <v>170039.31</v>
      </c>
      <c r="W474" s="4" t="n">
        <v>79506.44</v>
      </c>
      <c r="X474" s="0" t="n">
        <v>508.94</v>
      </c>
      <c r="Y474" s="5" t="n">
        <f aca="false">V474-L474</f>
        <v>168184.31</v>
      </c>
      <c r="Z474" s="6" t="n">
        <f aca="false">Y474/L474</f>
        <v>90.6653962264151</v>
      </c>
      <c r="AA474" s="3" t="n">
        <f aca="false">X474-P474</f>
        <v>487.58</v>
      </c>
      <c r="AB474" s="6" t="n">
        <f aca="false">AA474/P474</f>
        <v>22.8267790262172</v>
      </c>
    </row>
    <row r="475" customFormat="false" ht="12.75" hidden="false" customHeight="false" outlineLevel="0" collapsed="false">
      <c r="A475" s="0" t="s">
        <v>555</v>
      </c>
      <c r="B475" s="0" t="n">
        <v>3</v>
      </c>
      <c r="C475" s="0" t="s">
        <v>31</v>
      </c>
      <c r="D475" s="0" t="s">
        <v>31</v>
      </c>
      <c r="E475" s="0" t="n">
        <v>777</v>
      </c>
      <c r="F475" s="0" t="n">
        <v>1801</v>
      </c>
      <c r="G475" s="0" t="n">
        <v>10</v>
      </c>
      <c r="H475" s="0" t="n">
        <v>9</v>
      </c>
      <c r="I475" s="0" t="n">
        <v>9</v>
      </c>
      <c r="J475" s="0" t="n">
        <v>12</v>
      </c>
      <c r="K475" s="0" t="n">
        <v>0.7</v>
      </c>
      <c r="L475" s="1" t="n">
        <v>1801</v>
      </c>
      <c r="M475" s="0" t="n">
        <v>0</v>
      </c>
      <c r="N475" s="0" t="n">
        <v>1801</v>
      </c>
      <c r="O475" s="0" t="n">
        <v>89682</v>
      </c>
      <c r="P475" s="1" t="n">
        <v>19.27</v>
      </c>
      <c r="Q475" s="0" t="n">
        <v>0</v>
      </c>
      <c r="R475" s="0" t="n">
        <v>1</v>
      </c>
      <c r="S475" s="0" t="s">
        <v>42</v>
      </c>
      <c r="T475" s="0" t="str">
        <f aca="false">IF(L475="inf","False","True")</f>
        <v>True</v>
      </c>
      <c r="U475" s="0" t="str">
        <f aca="false">IF(V475="inf","False","True")</f>
        <v>True</v>
      </c>
      <c r="V475" s="4" t="n">
        <v>295699.45</v>
      </c>
      <c r="W475" s="4" t="n">
        <v>79216.73</v>
      </c>
      <c r="X475" s="0" t="n">
        <v>125.11</v>
      </c>
      <c r="Y475" s="5" t="n">
        <f aca="false">V475-L475</f>
        <v>293898.45</v>
      </c>
      <c r="Z475" s="6" t="n">
        <f aca="false">Y475/L475</f>
        <v>163.186257634647</v>
      </c>
      <c r="AA475" s="3" t="n">
        <f aca="false">X475-P475</f>
        <v>105.84</v>
      </c>
      <c r="AB475" s="6" t="n">
        <f aca="false">AA475/P475</f>
        <v>5.49247535028542</v>
      </c>
    </row>
    <row r="476" customFormat="false" ht="12.75" hidden="false" customHeight="false" outlineLevel="0" collapsed="false">
      <c r="A476" s="0" t="s">
        <v>556</v>
      </c>
      <c r="B476" s="0" t="n">
        <v>4</v>
      </c>
      <c r="C476" s="0" t="s">
        <v>31</v>
      </c>
      <c r="D476" s="0" t="s">
        <v>31</v>
      </c>
      <c r="E476" s="0" t="n">
        <v>777</v>
      </c>
      <c r="F476" s="0" t="n">
        <v>1897</v>
      </c>
      <c r="G476" s="0" t="n">
        <v>10</v>
      </c>
      <c r="H476" s="0" t="n">
        <v>9</v>
      </c>
      <c r="I476" s="0" t="n">
        <v>9</v>
      </c>
      <c r="J476" s="0" t="n">
        <v>12</v>
      </c>
      <c r="K476" s="0" t="n">
        <v>0.7</v>
      </c>
      <c r="L476" s="1" t="n">
        <v>1897</v>
      </c>
      <c r="M476" s="0" t="n">
        <v>0</v>
      </c>
      <c r="N476" s="0" t="n">
        <v>1897</v>
      </c>
      <c r="O476" s="0" t="n">
        <v>94665</v>
      </c>
      <c r="P476" s="1" t="n">
        <v>27.87</v>
      </c>
      <c r="Q476" s="0" t="n">
        <v>0</v>
      </c>
      <c r="R476" s="0" t="n">
        <v>5</v>
      </c>
      <c r="S476" s="0" t="s">
        <v>42</v>
      </c>
      <c r="T476" s="0" t="str">
        <f aca="false">IF(L476="inf","False","True")</f>
        <v>True</v>
      </c>
      <c r="U476" s="0" t="str">
        <f aca="false">IF(V476="inf","False","True")</f>
        <v>True</v>
      </c>
      <c r="V476" s="4" t="n">
        <v>218684.83</v>
      </c>
      <c r="W476" s="4" t="n">
        <v>85214.86</v>
      </c>
      <c r="X476" s="0" t="n">
        <v>372.87</v>
      </c>
      <c r="Y476" s="5" t="n">
        <f aca="false">V476-L476</f>
        <v>216787.83</v>
      </c>
      <c r="Z476" s="6" t="n">
        <f aca="false">Y476/L476</f>
        <v>114.279298892989</v>
      </c>
      <c r="AA476" s="3" t="n">
        <f aca="false">X476-P476</f>
        <v>345</v>
      </c>
      <c r="AB476" s="6" t="n">
        <f aca="false">AA476/P476</f>
        <v>12.3789020452099</v>
      </c>
    </row>
    <row r="477" customFormat="false" ht="12.75" hidden="false" customHeight="false" outlineLevel="0" collapsed="false">
      <c r="A477" s="0" t="s">
        <v>557</v>
      </c>
      <c r="B477" s="0" t="n">
        <v>0</v>
      </c>
      <c r="C477" s="0" t="s">
        <v>31</v>
      </c>
      <c r="D477" s="0" t="s">
        <v>31</v>
      </c>
      <c r="E477" s="0" t="n">
        <v>1111</v>
      </c>
      <c r="F477" s="0" t="n">
        <v>2540</v>
      </c>
      <c r="G477" s="0" t="n">
        <v>10</v>
      </c>
      <c r="H477" s="0" t="n">
        <v>9</v>
      </c>
      <c r="I477" s="0" t="n">
        <v>9</v>
      </c>
      <c r="J477" s="0" t="n">
        <v>12</v>
      </c>
      <c r="K477" s="0" t="n">
        <v>0.7</v>
      </c>
      <c r="L477" s="1" t="n">
        <v>2540</v>
      </c>
      <c r="M477" s="0" t="n">
        <v>0</v>
      </c>
      <c r="N477" s="0" t="n">
        <v>2540</v>
      </c>
      <c r="O477" s="0" t="n">
        <v>134137</v>
      </c>
      <c r="P477" s="1" t="n">
        <v>25.28</v>
      </c>
      <c r="Q477" s="0" t="n">
        <v>0</v>
      </c>
      <c r="R477" s="0" t="n">
        <v>1</v>
      </c>
      <c r="S477" s="0" t="s">
        <v>42</v>
      </c>
      <c r="T477" s="0" t="str">
        <f aca="false">IF(L477="inf","False","True")</f>
        <v>True</v>
      </c>
      <c r="U477" s="0" t="str">
        <f aca="false">IF(V477="inf","False","True")</f>
        <v>True</v>
      </c>
      <c r="V477" s="4" t="n">
        <v>433274.65</v>
      </c>
      <c r="W477" s="4" t="n">
        <v>114547.23</v>
      </c>
      <c r="X477" s="0" t="n">
        <v>0</v>
      </c>
      <c r="Y477" s="5" t="n">
        <f aca="false">V477-L477</f>
        <v>430734.65</v>
      </c>
      <c r="Z477" s="6" t="n">
        <f aca="false">Y477/L477</f>
        <v>169.580570866142</v>
      </c>
      <c r="AA477" s="3" t="n">
        <f aca="false">X477-P477</f>
        <v>-25.28</v>
      </c>
      <c r="AB477" s="6" t="n">
        <f aca="false">AA477/P477</f>
        <v>-1</v>
      </c>
    </row>
    <row r="478" customFormat="false" ht="12.75" hidden="false" customHeight="false" outlineLevel="0" collapsed="false">
      <c r="A478" s="0" t="s">
        <v>558</v>
      </c>
      <c r="B478" s="0" t="n">
        <v>1</v>
      </c>
      <c r="C478" s="0" t="s">
        <v>31</v>
      </c>
      <c r="D478" s="0" t="s">
        <v>31</v>
      </c>
      <c r="E478" s="0" t="n">
        <v>1111</v>
      </c>
      <c r="F478" s="0" t="n">
        <v>2736</v>
      </c>
      <c r="G478" s="0" t="n">
        <v>10</v>
      </c>
      <c r="H478" s="0" t="n">
        <v>9</v>
      </c>
      <c r="I478" s="0" t="n">
        <v>9</v>
      </c>
      <c r="J478" s="0" t="n">
        <v>12</v>
      </c>
      <c r="K478" s="0" t="n">
        <v>0.7</v>
      </c>
      <c r="L478" s="1" t="n">
        <v>2736</v>
      </c>
      <c r="M478" s="0" t="n">
        <v>0</v>
      </c>
      <c r="N478" s="0" t="n">
        <v>2736</v>
      </c>
      <c r="O478" s="0" t="n">
        <v>143002</v>
      </c>
      <c r="P478" s="1" t="n">
        <v>14.84</v>
      </c>
      <c r="Q478" s="0" t="n">
        <v>0</v>
      </c>
      <c r="R478" s="0" t="n">
        <v>1</v>
      </c>
      <c r="S478" s="0" t="s">
        <v>42</v>
      </c>
      <c r="T478" s="0" t="str">
        <f aca="false">IF(L478="inf","False","True")</f>
        <v>True</v>
      </c>
      <c r="U478" s="0" t="str">
        <f aca="false">IF(V478="inf","False","True")</f>
        <v>True</v>
      </c>
      <c r="V478" s="4" t="n">
        <v>288711.47</v>
      </c>
      <c r="W478" s="4" t="n">
        <v>122026.4</v>
      </c>
      <c r="X478" s="0" t="n">
        <v>552.32</v>
      </c>
      <c r="Y478" s="5" t="n">
        <f aca="false">V478-L478</f>
        <v>285975.47</v>
      </c>
      <c r="Z478" s="6" t="n">
        <f aca="false">Y478/L478</f>
        <v>104.523198099415</v>
      </c>
      <c r="AA478" s="3" t="n">
        <f aca="false">X478-P478</f>
        <v>537.48</v>
      </c>
      <c r="AB478" s="6" t="n">
        <f aca="false">AA478/P478</f>
        <v>36.2183288409704</v>
      </c>
    </row>
    <row r="479" customFormat="false" ht="12.75" hidden="false" customHeight="false" outlineLevel="0" collapsed="false">
      <c r="A479" s="0" t="s">
        <v>559</v>
      </c>
      <c r="B479" s="0" t="n">
        <v>2</v>
      </c>
      <c r="C479" s="0" t="s">
        <v>31</v>
      </c>
      <c r="D479" s="0" t="s">
        <v>31</v>
      </c>
      <c r="E479" s="0" t="n">
        <v>1111</v>
      </c>
      <c r="F479" s="0" t="n">
        <v>2655</v>
      </c>
      <c r="G479" s="0" t="n">
        <v>10</v>
      </c>
      <c r="H479" s="0" t="n">
        <v>9</v>
      </c>
      <c r="I479" s="0" t="n">
        <v>9</v>
      </c>
      <c r="J479" s="0" t="n">
        <v>12</v>
      </c>
      <c r="K479" s="0" t="n">
        <v>0.7</v>
      </c>
      <c r="L479" s="1" t="n">
        <v>2655</v>
      </c>
      <c r="M479" s="0" t="n">
        <v>0</v>
      </c>
      <c r="N479" s="0" t="n">
        <v>2655</v>
      </c>
      <c r="O479" s="0" t="n">
        <v>134204</v>
      </c>
      <c r="P479" s="1" t="n">
        <v>22.75</v>
      </c>
      <c r="Q479" s="0" t="n">
        <v>0</v>
      </c>
      <c r="R479" s="0" t="n">
        <v>1</v>
      </c>
      <c r="S479" s="0" t="s">
        <v>42</v>
      </c>
      <c r="T479" s="0" t="str">
        <f aca="false">IF(L479="inf","False","True")</f>
        <v>True</v>
      </c>
      <c r="U479" s="0" t="str">
        <f aca="false">IF(V479="inf","False","True")</f>
        <v>True</v>
      </c>
      <c r="V479" s="4" t="n">
        <v>315948.56</v>
      </c>
      <c r="W479" s="4" t="n">
        <v>111243.52</v>
      </c>
      <c r="X479" s="0" t="n">
        <v>499.77</v>
      </c>
      <c r="Y479" s="5" t="n">
        <f aca="false">V479-L479</f>
        <v>313293.56</v>
      </c>
      <c r="Z479" s="6" t="n">
        <f aca="false">Y479/L479</f>
        <v>118.00134086629</v>
      </c>
      <c r="AA479" s="3" t="n">
        <f aca="false">X479-P479</f>
        <v>477.02</v>
      </c>
      <c r="AB479" s="6" t="n">
        <f aca="false">AA479/P479</f>
        <v>20.9679120879121</v>
      </c>
    </row>
    <row r="480" customFormat="false" ht="12.75" hidden="false" customHeight="false" outlineLevel="0" collapsed="false">
      <c r="A480" s="0" t="s">
        <v>560</v>
      </c>
      <c r="B480" s="0" t="n">
        <v>3</v>
      </c>
      <c r="C480" s="0" t="s">
        <v>31</v>
      </c>
      <c r="D480" s="0" t="s">
        <v>31</v>
      </c>
      <c r="E480" s="0" t="n">
        <v>1111</v>
      </c>
      <c r="F480" s="0" t="n">
        <v>2577</v>
      </c>
      <c r="G480" s="0" t="n">
        <v>10</v>
      </c>
      <c r="H480" s="0" t="n">
        <v>9</v>
      </c>
      <c r="I480" s="0" t="n">
        <v>9</v>
      </c>
      <c r="J480" s="0" t="n">
        <v>12</v>
      </c>
      <c r="K480" s="0" t="n">
        <v>0.7</v>
      </c>
      <c r="L480" s="1" t="n">
        <v>2577</v>
      </c>
      <c r="M480" s="0" t="n">
        <v>0</v>
      </c>
      <c r="N480" s="0" t="n">
        <v>2577</v>
      </c>
      <c r="O480" s="0" t="n">
        <v>128115</v>
      </c>
      <c r="P480" s="1" t="n">
        <v>26.57</v>
      </c>
      <c r="Q480" s="0" t="n">
        <v>0</v>
      </c>
      <c r="R480" s="0" t="n">
        <v>5</v>
      </c>
      <c r="S480" s="0" t="s">
        <v>42</v>
      </c>
      <c r="T480" s="0" t="str">
        <f aca="false">IF(L480="inf","False","True")</f>
        <v>True</v>
      </c>
      <c r="U480" s="0" t="str">
        <f aca="false">IF(V480="inf","False","True")</f>
        <v>True</v>
      </c>
      <c r="V480" s="4" t="n">
        <v>228697.45</v>
      </c>
      <c r="W480" s="4" t="n">
        <v>115953.2</v>
      </c>
      <c r="X480" s="0" t="n">
        <v>197.86</v>
      </c>
      <c r="Y480" s="5" t="n">
        <f aca="false">V480-L480</f>
        <v>226120.45</v>
      </c>
      <c r="Z480" s="6" t="n">
        <f aca="false">Y480/L480</f>
        <v>87.745615056267</v>
      </c>
      <c r="AA480" s="3" t="n">
        <f aca="false">X480-P480</f>
        <v>171.29</v>
      </c>
      <c r="AB480" s="6" t="n">
        <f aca="false">AA480/P480</f>
        <v>6.44674444862627</v>
      </c>
    </row>
    <row r="481" customFormat="false" ht="12.75" hidden="false" customHeight="false" outlineLevel="0" collapsed="false">
      <c r="A481" s="0" t="s">
        <v>561</v>
      </c>
      <c r="B481" s="0" t="n">
        <v>4</v>
      </c>
      <c r="C481" s="0" t="s">
        <v>31</v>
      </c>
      <c r="D481" s="0" t="s">
        <v>31</v>
      </c>
      <c r="E481" s="0" t="n">
        <v>1111</v>
      </c>
      <c r="F481" s="0" t="n">
        <v>2714</v>
      </c>
      <c r="G481" s="0" t="n">
        <v>10</v>
      </c>
      <c r="H481" s="0" t="n">
        <v>9</v>
      </c>
      <c r="I481" s="0" t="n">
        <v>9</v>
      </c>
      <c r="J481" s="0" t="n">
        <v>12</v>
      </c>
      <c r="K481" s="0" t="n">
        <v>0.7</v>
      </c>
      <c r="L481" s="1" t="n">
        <v>2714</v>
      </c>
      <c r="M481" s="0" t="n">
        <v>0</v>
      </c>
      <c r="N481" s="0" t="n">
        <v>2714</v>
      </c>
      <c r="O481" s="0" t="n">
        <v>135234</v>
      </c>
      <c r="P481" s="1" t="n">
        <v>32.48</v>
      </c>
      <c r="Q481" s="0" t="n">
        <v>0</v>
      </c>
      <c r="R481" s="0" t="n">
        <v>5</v>
      </c>
      <c r="S481" s="0" t="s">
        <v>42</v>
      </c>
      <c r="T481" s="0" t="str">
        <f aca="false">IF(L481="inf","False","True")</f>
        <v>True</v>
      </c>
      <c r="U481" s="0" t="str">
        <f aca="false">IF(V481="inf","False","True")</f>
        <v>True</v>
      </c>
      <c r="V481" s="4" t="n">
        <v>267259.4</v>
      </c>
      <c r="W481" s="4" t="n">
        <v>122274.07</v>
      </c>
      <c r="X481" s="0" t="n">
        <v>184.4</v>
      </c>
      <c r="Y481" s="5" t="n">
        <f aca="false">V481-L481</f>
        <v>264545.4</v>
      </c>
      <c r="Z481" s="6" t="n">
        <f aca="false">Y481/L481</f>
        <v>97.4743551952837</v>
      </c>
      <c r="AA481" s="3" t="n">
        <f aca="false">X481-P481</f>
        <v>151.92</v>
      </c>
      <c r="AB481" s="6" t="n">
        <f aca="false">AA481/P481</f>
        <v>4.67733990147783</v>
      </c>
    </row>
    <row r="482" customFormat="false" ht="12.75" hidden="false" customHeight="false" outlineLevel="0" collapsed="false">
      <c r="A482" s="0" t="s">
        <v>562</v>
      </c>
      <c r="B482" s="0" t="n">
        <v>0</v>
      </c>
      <c r="C482" s="0" t="s">
        <v>31</v>
      </c>
      <c r="D482" s="0" t="s">
        <v>31</v>
      </c>
      <c r="E482" s="0" t="n">
        <v>333</v>
      </c>
      <c r="F482" s="0" t="n">
        <v>386</v>
      </c>
      <c r="G482" s="0" t="n">
        <v>15</v>
      </c>
      <c r="H482" s="0" t="n">
        <v>9</v>
      </c>
      <c r="I482" s="0" t="n">
        <v>9</v>
      </c>
      <c r="J482" s="0" t="n">
        <v>4</v>
      </c>
      <c r="K482" s="0" t="n">
        <v>0.7</v>
      </c>
      <c r="L482" s="1" t="n">
        <v>142055.88</v>
      </c>
      <c r="M482" s="0" t="n">
        <v>141683.36</v>
      </c>
      <c r="N482" s="0" t="n">
        <v>372.52</v>
      </c>
      <c r="O482" s="0" t="n">
        <v>58460.68</v>
      </c>
      <c r="P482" s="1" t="n">
        <v>101.73</v>
      </c>
      <c r="Q482" s="0" t="n">
        <v>0</v>
      </c>
      <c r="R482" s="0" t="n">
        <v>2</v>
      </c>
      <c r="S482" s="0" t="s">
        <v>563</v>
      </c>
      <c r="T482" s="0" t="str">
        <f aca="false">IF(L482="inf","False","True")</f>
        <v>True</v>
      </c>
      <c r="U482" s="0" t="str">
        <f aca="false">IF(V482="inf","False","True")</f>
        <v>False</v>
      </c>
      <c r="V482" s="4" t="s">
        <v>37</v>
      </c>
      <c r="W482" s="4" t="s">
        <v>37</v>
      </c>
      <c r="X482" s="0" t="n">
        <v>48.77</v>
      </c>
      <c r="Y482" s="5" t="e">
        <f aca="false">V482-L482</f>
        <v>#VALUE!</v>
      </c>
      <c r="Z482" s="6" t="e">
        <f aca="false">Y482/L482</f>
        <v>#VALUE!</v>
      </c>
      <c r="AA482" s="3" t="n">
        <f aca="false">X482-P482</f>
        <v>-52.96</v>
      </c>
      <c r="AB482" s="6" t="n">
        <f aca="false">AA482/P482</f>
        <v>-0.520593728497002</v>
      </c>
    </row>
    <row r="483" customFormat="false" ht="12.75" hidden="false" customHeight="false" outlineLevel="0" collapsed="false">
      <c r="A483" s="0" t="s">
        <v>564</v>
      </c>
      <c r="B483" s="0" t="n">
        <v>1</v>
      </c>
      <c r="C483" s="0" t="s">
        <v>31</v>
      </c>
      <c r="D483" s="0" t="s">
        <v>31</v>
      </c>
      <c r="E483" s="0" t="n">
        <v>333</v>
      </c>
      <c r="F483" s="0" t="n">
        <v>433</v>
      </c>
      <c r="G483" s="0" t="n">
        <v>15</v>
      </c>
      <c r="H483" s="0" t="n">
        <v>9</v>
      </c>
      <c r="I483" s="0" t="n">
        <v>9</v>
      </c>
      <c r="J483" s="0" t="n">
        <v>4</v>
      </c>
      <c r="K483" s="0" t="n">
        <v>0.7</v>
      </c>
      <c r="L483" s="1" t="n">
        <v>138665.49</v>
      </c>
      <c r="M483" s="0" t="n">
        <v>138261.92</v>
      </c>
      <c r="N483" s="0" t="n">
        <v>403.57</v>
      </c>
      <c r="O483" s="0" t="n">
        <v>58047.42</v>
      </c>
      <c r="P483" s="1" t="n">
        <v>55.79</v>
      </c>
      <c r="Q483" s="0" t="n">
        <v>0</v>
      </c>
      <c r="R483" s="0" t="n">
        <v>11</v>
      </c>
      <c r="S483" s="0" t="s">
        <v>32</v>
      </c>
      <c r="T483" s="0" t="str">
        <f aca="false">IF(L483="inf","False","True")</f>
        <v>True</v>
      </c>
      <c r="U483" s="0" t="str">
        <f aca="false">IF(V483="inf","False","True")</f>
        <v>False</v>
      </c>
      <c r="V483" s="4" t="s">
        <v>37</v>
      </c>
      <c r="W483" s="4" t="s">
        <v>37</v>
      </c>
      <c r="X483" s="0" t="n">
        <v>38.11</v>
      </c>
      <c r="Y483" s="5" t="e">
        <f aca="false">V483-L483</f>
        <v>#VALUE!</v>
      </c>
      <c r="Z483" s="6" t="e">
        <f aca="false">Y483/L483</f>
        <v>#VALUE!</v>
      </c>
      <c r="AA483" s="3" t="n">
        <f aca="false">X483-P483</f>
        <v>-17.68</v>
      </c>
      <c r="AB483" s="6" t="n">
        <f aca="false">AA483/P483</f>
        <v>-0.316902670729521</v>
      </c>
    </row>
    <row r="484" customFormat="false" ht="12.75" hidden="false" customHeight="false" outlineLevel="0" collapsed="false">
      <c r="A484" s="0" t="s">
        <v>565</v>
      </c>
      <c r="B484" s="0" t="n">
        <v>2</v>
      </c>
      <c r="C484" s="0" t="s">
        <v>31</v>
      </c>
      <c r="D484" s="0" t="s">
        <v>31</v>
      </c>
      <c r="E484" s="0" t="n">
        <v>333</v>
      </c>
      <c r="F484" s="0" t="n">
        <v>427</v>
      </c>
      <c r="G484" s="0" t="n">
        <v>15</v>
      </c>
      <c r="H484" s="0" t="n">
        <v>9</v>
      </c>
      <c r="I484" s="0" t="n">
        <v>9</v>
      </c>
      <c r="J484" s="0" t="n">
        <v>4</v>
      </c>
      <c r="K484" s="0" t="n">
        <v>0.7</v>
      </c>
      <c r="L484" s="1" t="n">
        <v>124879.45</v>
      </c>
      <c r="M484" s="0" t="n">
        <v>124472.81</v>
      </c>
      <c r="N484" s="0" t="n">
        <v>406.63</v>
      </c>
      <c r="O484" s="0" t="n">
        <v>58490.88</v>
      </c>
      <c r="P484" s="1" t="n">
        <v>39.45</v>
      </c>
      <c r="Q484" s="0" t="n">
        <v>0</v>
      </c>
      <c r="R484" s="0" t="n">
        <v>5</v>
      </c>
      <c r="S484" s="0" t="s">
        <v>32</v>
      </c>
      <c r="T484" s="0" t="str">
        <f aca="false">IF(L484="inf","False","True")</f>
        <v>True</v>
      </c>
      <c r="U484" s="0" t="str">
        <f aca="false">IF(V484="inf","False","True")</f>
        <v>False</v>
      </c>
      <c r="V484" s="4" t="s">
        <v>37</v>
      </c>
      <c r="W484" s="4" t="s">
        <v>37</v>
      </c>
      <c r="X484" s="0" t="n">
        <v>34.34</v>
      </c>
      <c r="Y484" s="5" t="e">
        <f aca="false">V484-L484</f>
        <v>#VALUE!</v>
      </c>
      <c r="Z484" s="6" t="e">
        <f aca="false">Y484/L484</f>
        <v>#VALUE!</v>
      </c>
      <c r="AA484" s="3" t="n">
        <f aca="false">X484-P484</f>
        <v>-5.11</v>
      </c>
      <c r="AB484" s="6" t="n">
        <f aca="false">AA484/P484</f>
        <v>-0.129531051964512</v>
      </c>
    </row>
    <row r="485" customFormat="false" ht="12.75" hidden="false" customHeight="false" outlineLevel="0" collapsed="false">
      <c r="A485" s="0" t="s">
        <v>566</v>
      </c>
      <c r="B485" s="0" t="n">
        <v>3</v>
      </c>
      <c r="C485" s="0" t="s">
        <v>31</v>
      </c>
      <c r="D485" s="0" t="s">
        <v>31</v>
      </c>
      <c r="E485" s="0" t="n">
        <v>333</v>
      </c>
      <c r="F485" s="0" t="n">
        <v>391</v>
      </c>
      <c r="G485" s="0" t="n">
        <v>15</v>
      </c>
      <c r="H485" s="0" t="n">
        <v>9</v>
      </c>
      <c r="I485" s="0" t="n">
        <v>9</v>
      </c>
      <c r="J485" s="0" t="n">
        <v>4</v>
      </c>
      <c r="K485" s="0" t="n">
        <v>0.7</v>
      </c>
      <c r="L485" s="1" t="n">
        <v>145206.61</v>
      </c>
      <c r="M485" s="0" t="n">
        <v>144826.57</v>
      </c>
      <c r="N485" s="0" t="n">
        <v>380.04</v>
      </c>
      <c r="O485" s="0" t="n">
        <v>55770.89</v>
      </c>
      <c r="P485" s="1" t="n">
        <v>35.67</v>
      </c>
      <c r="Q485" s="0" t="n">
        <v>0</v>
      </c>
      <c r="R485" s="0" t="n">
        <v>2</v>
      </c>
      <c r="S485" s="0" t="s">
        <v>32</v>
      </c>
      <c r="T485" s="0" t="str">
        <f aca="false">IF(L485="inf","False","True")</f>
        <v>True</v>
      </c>
      <c r="U485" s="0" t="str">
        <f aca="false">IF(V485="inf","False","True")</f>
        <v>False</v>
      </c>
      <c r="V485" s="4" t="s">
        <v>37</v>
      </c>
      <c r="W485" s="4" t="s">
        <v>37</v>
      </c>
      <c r="X485" s="0" t="n">
        <v>25</v>
      </c>
      <c r="Y485" s="5" t="e">
        <f aca="false">V485-L485</f>
        <v>#VALUE!</v>
      </c>
      <c r="Z485" s="6" t="e">
        <f aca="false">Y485/L485</f>
        <v>#VALUE!</v>
      </c>
      <c r="AA485" s="3" t="n">
        <f aca="false">X485-P485</f>
        <v>-10.67</v>
      </c>
      <c r="AB485" s="6" t="n">
        <f aca="false">AA485/P485</f>
        <v>-0.299130922343706</v>
      </c>
    </row>
    <row r="486" customFormat="false" ht="12.75" hidden="false" customHeight="false" outlineLevel="0" collapsed="false">
      <c r="A486" s="0" t="s">
        <v>567</v>
      </c>
      <c r="B486" s="0" t="n">
        <v>4</v>
      </c>
      <c r="C486" s="0" t="s">
        <v>31</v>
      </c>
      <c r="D486" s="0" t="s">
        <v>31</v>
      </c>
      <c r="E486" s="0" t="n">
        <v>333</v>
      </c>
      <c r="F486" s="0" t="n">
        <v>436</v>
      </c>
      <c r="G486" s="0" t="n">
        <v>15</v>
      </c>
      <c r="H486" s="0" t="n">
        <v>9</v>
      </c>
      <c r="I486" s="0" t="n">
        <v>9</v>
      </c>
      <c r="J486" s="0" t="n">
        <v>4</v>
      </c>
      <c r="K486" s="0" t="n">
        <v>0.7</v>
      </c>
      <c r="L486" s="1" t="n">
        <v>13610.25</v>
      </c>
      <c r="M486" s="0" t="n">
        <v>13179.63</v>
      </c>
      <c r="N486" s="0" t="n">
        <v>430.62</v>
      </c>
      <c r="O486" s="0" t="n">
        <v>57630.01</v>
      </c>
      <c r="P486" s="1" t="n">
        <v>17.49</v>
      </c>
      <c r="Q486" s="0" t="n">
        <v>0</v>
      </c>
      <c r="R486" s="0" t="n">
        <v>1</v>
      </c>
      <c r="S486" s="0" t="s">
        <v>42</v>
      </c>
      <c r="T486" s="0" t="str">
        <f aca="false">IF(L486="inf","False","True")</f>
        <v>True</v>
      </c>
      <c r="U486" s="0" t="str">
        <f aca="false">IF(V486="inf","False","True")</f>
        <v>False</v>
      </c>
      <c r="V486" s="4" t="s">
        <v>37</v>
      </c>
      <c r="W486" s="4" t="s">
        <v>37</v>
      </c>
      <c r="X486" s="0" t="n">
        <v>53.82</v>
      </c>
      <c r="Y486" s="5" t="e">
        <f aca="false">V486-L486</f>
        <v>#VALUE!</v>
      </c>
      <c r="Z486" s="6" t="e">
        <f aca="false">Y486/L486</f>
        <v>#VALUE!</v>
      </c>
      <c r="AA486" s="3" t="n">
        <f aca="false">X486-P486</f>
        <v>36.33</v>
      </c>
      <c r="AB486" s="6" t="n">
        <f aca="false">AA486/P486</f>
        <v>2.07718696397942</v>
      </c>
    </row>
    <row r="487" customFormat="false" ht="12.75" hidden="false" customHeight="false" outlineLevel="0" collapsed="false">
      <c r="A487" s="0" t="s">
        <v>568</v>
      </c>
      <c r="B487" s="0" t="n">
        <v>0</v>
      </c>
      <c r="C487" s="0" t="s">
        <v>31</v>
      </c>
      <c r="D487" s="0" t="s">
        <v>31</v>
      </c>
      <c r="E487" s="0" t="n">
        <v>555</v>
      </c>
      <c r="F487" s="0" t="n">
        <v>645</v>
      </c>
      <c r="G487" s="0" t="n">
        <v>15</v>
      </c>
      <c r="H487" s="0" t="n">
        <v>9</v>
      </c>
      <c r="I487" s="0" t="n">
        <v>9</v>
      </c>
      <c r="J487" s="0" t="n">
        <v>4</v>
      </c>
      <c r="K487" s="0" t="n">
        <v>0.7</v>
      </c>
      <c r="L487" s="1" t="n">
        <v>211066.14</v>
      </c>
      <c r="M487" s="0" t="n">
        <v>210458.41</v>
      </c>
      <c r="N487" s="0" t="n">
        <v>607.73</v>
      </c>
      <c r="O487" s="0" t="n">
        <v>97895.02</v>
      </c>
      <c r="P487" s="1" t="n">
        <v>96.41</v>
      </c>
      <c r="Q487" s="0" t="n">
        <v>0</v>
      </c>
      <c r="R487" s="0" t="n">
        <v>2</v>
      </c>
      <c r="S487" s="0" t="s">
        <v>32</v>
      </c>
      <c r="T487" s="0" t="str">
        <f aca="false">IF(L487="inf","False","True")</f>
        <v>True</v>
      </c>
      <c r="U487" s="0" t="str">
        <f aca="false">IF(V487="inf","False","True")</f>
        <v>False</v>
      </c>
      <c r="V487" s="4" t="s">
        <v>37</v>
      </c>
      <c r="W487" s="4" t="s">
        <v>37</v>
      </c>
      <c r="X487" s="0" t="n">
        <v>38.02</v>
      </c>
      <c r="Y487" s="5" t="e">
        <f aca="false">V487-L487</f>
        <v>#VALUE!</v>
      </c>
      <c r="Z487" s="6" t="e">
        <f aca="false">Y487/L487</f>
        <v>#VALUE!</v>
      </c>
      <c r="AA487" s="3" t="n">
        <f aca="false">X487-P487</f>
        <v>-58.39</v>
      </c>
      <c r="AB487" s="6" t="n">
        <f aca="false">AA487/P487</f>
        <v>-0.60564256819832</v>
      </c>
    </row>
    <row r="488" customFormat="false" ht="12.75" hidden="false" customHeight="false" outlineLevel="0" collapsed="false">
      <c r="A488" s="0" t="s">
        <v>569</v>
      </c>
      <c r="B488" s="0" t="n">
        <v>1</v>
      </c>
      <c r="C488" s="0" t="s">
        <v>31</v>
      </c>
      <c r="D488" s="0" t="s">
        <v>31</v>
      </c>
      <c r="E488" s="0" t="n">
        <v>555</v>
      </c>
      <c r="F488" s="0" t="n">
        <v>726</v>
      </c>
      <c r="G488" s="0" t="n">
        <v>15</v>
      </c>
      <c r="H488" s="0" t="n">
        <v>9</v>
      </c>
      <c r="I488" s="0" t="n">
        <v>9</v>
      </c>
      <c r="J488" s="0" t="n">
        <v>4</v>
      </c>
      <c r="K488" s="0" t="n">
        <v>0.7</v>
      </c>
      <c r="L488" s="1" t="n">
        <v>195262.84</v>
      </c>
      <c r="M488" s="0" t="n">
        <v>194582.54</v>
      </c>
      <c r="N488" s="0" t="n">
        <v>680.3</v>
      </c>
      <c r="O488" s="0" t="n">
        <v>97586.99</v>
      </c>
      <c r="P488" s="1" t="n">
        <v>99.62</v>
      </c>
      <c r="Q488" s="0" t="n">
        <v>0</v>
      </c>
      <c r="R488" s="0" t="n">
        <v>13</v>
      </c>
      <c r="S488" s="0" t="s">
        <v>32</v>
      </c>
      <c r="T488" s="0" t="str">
        <f aca="false">IF(L488="inf","False","True")</f>
        <v>True</v>
      </c>
      <c r="U488" s="0" t="str">
        <f aca="false">IF(V488="inf","False","True")</f>
        <v>False</v>
      </c>
      <c r="V488" s="4" t="s">
        <v>37</v>
      </c>
      <c r="W488" s="4" t="s">
        <v>37</v>
      </c>
      <c r="X488" s="0" t="n">
        <v>38.13</v>
      </c>
      <c r="Y488" s="5" t="e">
        <f aca="false">V488-L488</f>
        <v>#VALUE!</v>
      </c>
      <c r="Z488" s="6" t="e">
        <f aca="false">Y488/L488</f>
        <v>#VALUE!</v>
      </c>
      <c r="AA488" s="3" t="n">
        <f aca="false">X488-P488</f>
        <v>-61.49</v>
      </c>
      <c r="AB488" s="6" t="n">
        <f aca="false">AA488/P488</f>
        <v>-0.617245533025497</v>
      </c>
    </row>
    <row r="489" customFormat="false" ht="12.75" hidden="false" customHeight="false" outlineLevel="0" collapsed="false">
      <c r="A489" s="0" t="s">
        <v>570</v>
      </c>
      <c r="B489" s="0" t="n">
        <v>2</v>
      </c>
      <c r="C489" s="0" t="s">
        <v>31</v>
      </c>
      <c r="D489" s="0" t="s">
        <v>31</v>
      </c>
      <c r="E489" s="0" t="n">
        <v>555</v>
      </c>
      <c r="F489" s="0" t="n">
        <v>715</v>
      </c>
      <c r="G489" s="0" t="n">
        <v>15</v>
      </c>
      <c r="H489" s="0" t="n">
        <v>9</v>
      </c>
      <c r="I489" s="0" t="n">
        <v>9</v>
      </c>
      <c r="J489" s="0" t="n">
        <v>4</v>
      </c>
      <c r="K489" s="0" t="n">
        <v>0.7</v>
      </c>
      <c r="L489" s="1" t="n">
        <v>220951.87</v>
      </c>
      <c r="M489" s="0" t="n">
        <v>220279.82</v>
      </c>
      <c r="N489" s="0" t="n">
        <v>672.05</v>
      </c>
      <c r="O489" s="0" t="n">
        <v>98042.88</v>
      </c>
      <c r="P489" s="1" t="n">
        <v>84.21</v>
      </c>
      <c r="Q489" s="0" t="n">
        <v>0</v>
      </c>
      <c r="R489" s="0" t="n">
        <v>10</v>
      </c>
      <c r="S489" s="0" t="s">
        <v>32</v>
      </c>
      <c r="T489" s="0" t="str">
        <f aca="false">IF(L489="inf","False","True")</f>
        <v>True</v>
      </c>
      <c r="U489" s="0" t="str">
        <f aca="false">IF(V489="inf","False","True")</f>
        <v>False</v>
      </c>
      <c r="V489" s="4" t="s">
        <v>37</v>
      </c>
      <c r="W489" s="4" t="s">
        <v>37</v>
      </c>
      <c r="X489" s="0" t="n">
        <v>33.5</v>
      </c>
      <c r="Y489" s="5" t="e">
        <f aca="false">V489-L489</f>
        <v>#VALUE!</v>
      </c>
      <c r="Z489" s="6" t="e">
        <f aca="false">Y489/L489</f>
        <v>#VALUE!</v>
      </c>
      <c r="AA489" s="3" t="n">
        <f aca="false">X489-P489</f>
        <v>-50.71</v>
      </c>
      <c r="AB489" s="6" t="n">
        <f aca="false">AA489/P489</f>
        <v>-0.602185013656335</v>
      </c>
    </row>
    <row r="490" customFormat="false" ht="12.75" hidden="false" customHeight="false" outlineLevel="0" collapsed="false">
      <c r="A490" s="0" t="s">
        <v>571</v>
      </c>
      <c r="B490" s="0" t="n">
        <v>3</v>
      </c>
      <c r="C490" s="0" t="s">
        <v>31</v>
      </c>
      <c r="D490" s="0" t="s">
        <v>31</v>
      </c>
      <c r="E490" s="0" t="n">
        <v>555</v>
      </c>
      <c r="F490" s="0" t="n">
        <v>652</v>
      </c>
      <c r="G490" s="0" t="n">
        <v>15</v>
      </c>
      <c r="H490" s="0" t="n">
        <v>9</v>
      </c>
      <c r="I490" s="0" t="n">
        <v>9</v>
      </c>
      <c r="J490" s="0" t="n">
        <v>4</v>
      </c>
      <c r="K490" s="0" t="n">
        <v>0.7</v>
      </c>
      <c r="L490" s="1" t="n">
        <v>235627.42</v>
      </c>
      <c r="M490" s="0" t="n">
        <v>235001.76</v>
      </c>
      <c r="N490" s="0" t="n">
        <v>625.65</v>
      </c>
      <c r="O490" s="0" t="n">
        <v>93074.09</v>
      </c>
      <c r="P490" s="1" t="n">
        <v>22.66</v>
      </c>
      <c r="Q490" s="0" t="n">
        <v>0</v>
      </c>
      <c r="R490" s="0" t="n">
        <v>2</v>
      </c>
      <c r="S490" s="0" t="s">
        <v>32</v>
      </c>
      <c r="T490" s="0" t="str">
        <f aca="false">IF(L490="inf","False","True")</f>
        <v>True</v>
      </c>
      <c r="U490" s="0" t="str">
        <f aca="false">IF(V490="inf","False","True")</f>
        <v>False</v>
      </c>
      <c r="V490" s="4" t="s">
        <v>37</v>
      </c>
      <c r="W490" s="4" t="s">
        <v>37</v>
      </c>
      <c r="X490" s="0" t="n">
        <v>25.99</v>
      </c>
      <c r="Y490" s="5" t="e">
        <f aca="false">V490-L490</f>
        <v>#VALUE!</v>
      </c>
      <c r="Z490" s="6" t="e">
        <f aca="false">Y490/L490</f>
        <v>#VALUE!</v>
      </c>
      <c r="AA490" s="3" t="n">
        <f aca="false">X490-P490</f>
        <v>3.33</v>
      </c>
      <c r="AB490" s="6" t="n">
        <f aca="false">AA490/P490</f>
        <v>0.146954986760812</v>
      </c>
    </row>
    <row r="491" customFormat="false" ht="12.75" hidden="false" customHeight="false" outlineLevel="0" collapsed="false">
      <c r="A491" s="0" t="s">
        <v>572</v>
      </c>
      <c r="B491" s="0" t="n">
        <v>4</v>
      </c>
      <c r="C491" s="0" t="s">
        <v>31</v>
      </c>
      <c r="D491" s="0" t="s">
        <v>31</v>
      </c>
      <c r="E491" s="0" t="n">
        <v>555</v>
      </c>
      <c r="F491" s="0" t="n">
        <v>732</v>
      </c>
      <c r="G491" s="0" t="n">
        <v>15</v>
      </c>
      <c r="H491" s="0" t="n">
        <v>9</v>
      </c>
      <c r="I491" s="0" t="n">
        <v>9</v>
      </c>
      <c r="J491" s="0" t="n">
        <v>4</v>
      </c>
      <c r="K491" s="0" t="n">
        <v>0.7</v>
      </c>
      <c r="L491" s="1" t="n">
        <v>20056.56</v>
      </c>
      <c r="M491" s="0" t="n">
        <v>19326.63</v>
      </c>
      <c r="N491" s="0" t="n">
        <v>729.93</v>
      </c>
      <c r="O491" s="0" t="n">
        <v>96004.09</v>
      </c>
      <c r="P491" s="1" t="n">
        <v>115.98</v>
      </c>
      <c r="Q491" s="0" t="n">
        <v>0</v>
      </c>
      <c r="R491" s="0" t="n">
        <v>10</v>
      </c>
      <c r="S491" s="0" t="s">
        <v>573</v>
      </c>
      <c r="T491" s="0" t="str">
        <f aca="false">IF(L491="inf","False","True")</f>
        <v>True</v>
      </c>
      <c r="U491" s="0" t="str">
        <f aca="false">IF(V491="inf","False","True")</f>
        <v>False</v>
      </c>
      <c r="V491" s="4" t="s">
        <v>37</v>
      </c>
      <c r="W491" s="4" t="s">
        <v>37</v>
      </c>
      <c r="X491" s="0" t="n">
        <v>40.55</v>
      </c>
      <c r="Y491" s="5" t="e">
        <f aca="false">V491-L491</f>
        <v>#VALUE!</v>
      </c>
      <c r="Z491" s="6" t="e">
        <f aca="false">Y491/L491</f>
        <v>#VALUE!</v>
      </c>
      <c r="AA491" s="3" t="n">
        <f aca="false">X491-P491</f>
        <v>-75.43</v>
      </c>
      <c r="AB491" s="6" t="n">
        <f aca="false">AA491/P491</f>
        <v>-0.650370753578203</v>
      </c>
    </row>
    <row r="492" customFormat="false" ht="12.75" hidden="false" customHeight="false" outlineLevel="0" collapsed="false">
      <c r="A492" s="0" t="s">
        <v>574</v>
      </c>
      <c r="B492" s="0" t="n">
        <v>0</v>
      </c>
      <c r="C492" s="0" t="s">
        <v>31</v>
      </c>
      <c r="D492" s="0" t="s">
        <v>31</v>
      </c>
      <c r="E492" s="0" t="n">
        <v>777</v>
      </c>
      <c r="F492" s="0" t="n">
        <v>907</v>
      </c>
      <c r="G492" s="0" t="n">
        <v>15</v>
      </c>
      <c r="H492" s="0" t="n">
        <v>9</v>
      </c>
      <c r="I492" s="0" t="n">
        <v>9</v>
      </c>
      <c r="J492" s="0" t="n">
        <v>4</v>
      </c>
      <c r="K492" s="0" t="n">
        <v>0.7</v>
      </c>
      <c r="L492" s="1" t="n">
        <v>312413.4</v>
      </c>
      <c r="M492" s="0" t="n">
        <v>311549.04</v>
      </c>
      <c r="N492" s="0" t="n">
        <v>864.35</v>
      </c>
      <c r="O492" s="0" t="n">
        <v>139879.79</v>
      </c>
      <c r="P492" s="1" t="n">
        <v>164.9</v>
      </c>
      <c r="Q492" s="0" t="n">
        <v>0</v>
      </c>
      <c r="R492" s="0" t="n">
        <v>4</v>
      </c>
      <c r="S492" s="0" t="s">
        <v>32</v>
      </c>
      <c r="T492" s="0" t="str">
        <f aca="false">IF(L492="inf","False","True")</f>
        <v>True</v>
      </c>
      <c r="U492" s="0" t="str">
        <f aca="false">IF(V492="inf","False","True")</f>
        <v>False</v>
      </c>
      <c r="V492" s="4" t="s">
        <v>37</v>
      </c>
      <c r="W492" s="4" t="s">
        <v>37</v>
      </c>
      <c r="X492" s="0" t="n">
        <v>35.04</v>
      </c>
      <c r="Y492" s="5" t="e">
        <f aca="false">V492-L492</f>
        <v>#VALUE!</v>
      </c>
      <c r="Z492" s="6" t="e">
        <f aca="false">Y492/L492</f>
        <v>#VALUE!</v>
      </c>
      <c r="AA492" s="3" t="n">
        <f aca="false">X492-P492</f>
        <v>-129.86</v>
      </c>
      <c r="AB492" s="6" t="n">
        <f aca="false">AA492/P492</f>
        <v>-0.787507580351728</v>
      </c>
    </row>
    <row r="493" customFormat="false" ht="12.75" hidden="false" customHeight="false" outlineLevel="0" collapsed="false">
      <c r="A493" s="0" t="s">
        <v>575</v>
      </c>
      <c r="B493" s="0" t="n">
        <v>1</v>
      </c>
      <c r="C493" s="0" t="s">
        <v>31</v>
      </c>
      <c r="D493" s="0" t="s">
        <v>31</v>
      </c>
      <c r="E493" s="0" t="n">
        <v>777</v>
      </c>
      <c r="F493" s="0" t="n">
        <v>1019</v>
      </c>
      <c r="G493" s="0" t="n">
        <v>15</v>
      </c>
      <c r="H493" s="0" t="n">
        <v>9</v>
      </c>
      <c r="I493" s="0" t="n">
        <v>9</v>
      </c>
      <c r="J493" s="0" t="n">
        <v>4</v>
      </c>
      <c r="K493" s="0" t="n">
        <v>0.7</v>
      </c>
      <c r="L493" s="1" t="n">
        <v>294562.46</v>
      </c>
      <c r="M493" s="0" t="n">
        <v>293597.31</v>
      </c>
      <c r="N493" s="0" t="n">
        <v>965.16</v>
      </c>
      <c r="O493" s="0" t="n">
        <v>133652.75</v>
      </c>
      <c r="P493" s="1" t="n">
        <v>84.45</v>
      </c>
      <c r="Q493" s="0" t="n">
        <v>0</v>
      </c>
      <c r="R493" s="0" t="n">
        <v>10</v>
      </c>
      <c r="S493" s="0" t="s">
        <v>32</v>
      </c>
      <c r="T493" s="0" t="str">
        <f aca="false">IF(L493="inf","False","True")</f>
        <v>True</v>
      </c>
      <c r="U493" s="0" t="str">
        <f aca="false">IF(V493="inf","False","True")</f>
        <v>False</v>
      </c>
      <c r="V493" s="4" t="s">
        <v>37</v>
      </c>
      <c r="W493" s="4" t="s">
        <v>37</v>
      </c>
      <c r="X493" s="0" t="n">
        <v>37.86</v>
      </c>
      <c r="Y493" s="5" t="e">
        <f aca="false">V493-L493</f>
        <v>#VALUE!</v>
      </c>
      <c r="Z493" s="6" t="e">
        <f aca="false">Y493/L493</f>
        <v>#VALUE!</v>
      </c>
      <c r="AA493" s="3" t="n">
        <f aca="false">X493-P493</f>
        <v>-46.59</v>
      </c>
      <c r="AB493" s="6" t="n">
        <f aca="false">AA493/P493</f>
        <v>-0.551687388987567</v>
      </c>
    </row>
    <row r="494" customFormat="false" ht="12.75" hidden="false" customHeight="false" outlineLevel="0" collapsed="false">
      <c r="A494" s="0" t="s">
        <v>576</v>
      </c>
      <c r="B494" s="0" t="n">
        <v>2</v>
      </c>
      <c r="C494" s="0" t="s">
        <v>31</v>
      </c>
      <c r="D494" s="0" t="s">
        <v>31</v>
      </c>
      <c r="E494" s="0" t="n">
        <v>777</v>
      </c>
      <c r="F494" s="0" t="n">
        <v>1005</v>
      </c>
      <c r="G494" s="0" t="n">
        <v>15</v>
      </c>
      <c r="H494" s="0" t="n">
        <v>9</v>
      </c>
      <c r="I494" s="0" t="n">
        <v>9</v>
      </c>
      <c r="J494" s="0" t="n">
        <v>4</v>
      </c>
      <c r="K494" s="0" t="n">
        <v>0.7</v>
      </c>
      <c r="L494" s="1" t="n">
        <v>300888.17</v>
      </c>
      <c r="M494" s="0" t="n">
        <v>299941.11</v>
      </c>
      <c r="N494" s="0" t="n">
        <v>947.06</v>
      </c>
      <c r="O494" s="0" t="n">
        <v>137446.84</v>
      </c>
      <c r="P494" s="1" t="n">
        <v>76.26</v>
      </c>
      <c r="Q494" s="0" t="n">
        <v>0</v>
      </c>
      <c r="R494" s="0" t="n">
        <v>10</v>
      </c>
      <c r="S494" s="0" t="s">
        <v>32</v>
      </c>
      <c r="T494" s="0" t="str">
        <f aca="false">IF(L494="inf","False","True")</f>
        <v>True</v>
      </c>
      <c r="U494" s="0" t="str">
        <f aca="false">IF(V494="inf","False","True")</f>
        <v>False</v>
      </c>
      <c r="V494" s="4" t="s">
        <v>37</v>
      </c>
      <c r="W494" s="4" t="s">
        <v>37</v>
      </c>
      <c r="X494" s="0" t="n">
        <v>37.24</v>
      </c>
      <c r="Y494" s="5" t="e">
        <f aca="false">V494-L494</f>
        <v>#VALUE!</v>
      </c>
      <c r="Z494" s="6" t="e">
        <f aca="false">Y494/L494</f>
        <v>#VALUE!</v>
      </c>
      <c r="AA494" s="3" t="n">
        <f aca="false">X494-P494</f>
        <v>-39.02</v>
      </c>
      <c r="AB494" s="6" t="n">
        <f aca="false">AA494/P494</f>
        <v>-0.511670600576974</v>
      </c>
    </row>
    <row r="495" customFormat="false" ht="12.75" hidden="false" customHeight="false" outlineLevel="0" collapsed="false">
      <c r="A495" s="0" t="s">
        <v>577</v>
      </c>
      <c r="B495" s="0" t="n">
        <v>3</v>
      </c>
      <c r="C495" s="0" t="s">
        <v>31</v>
      </c>
      <c r="D495" s="0" t="s">
        <v>31</v>
      </c>
      <c r="E495" s="0" t="n">
        <v>777</v>
      </c>
      <c r="F495" s="0" t="n">
        <v>917</v>
      </c>
      <c r="G495" s="0" t="n">
        <v>15</v>
      </c>
      <c r="H495" s="0" t="n">
        <v>9</v>
      </c>
      <c r="I495" s="0" t="n">
        <v>9</v>
      </c>
      <c r="J495" s="0" t="n">
        <v>4</v>
      </c>
      <c r="K495" s="0" t="n">
        <v>0.7</v>
      </c>
      <c r="L495" s="1" t="n">
        <v>326479.25</v>
      </c>
      <c r="M495" s="0" t="n">
        <v>325573.07</v>
      </c>
      <c r="N495" s="0" t="n">
        <v>906.18</v>
      </c>
      <c r="O495" s="0" t="n">
        <v>134510.54</v>
      </c>
      <c r="P495" s="1" t="n">
        <v>104.61</v>
      </c>
      <c r="Q495" s="0" t="n">
        <v>0</v>
      </c>
      <c r="R495" s="0" t="n">
        <v>7</v>
      </c>
      <c r="S495" s="0" t="s">
        <v>32</v>
      </c>
      <c r="T495" s="0" t="str">
        <f aca="false">IF(L495="inf","False","True")</f>
        <v>True</v>
      </c>
      <c r="U495" s="0" t="str">
        <f aca="false">IF(V495="inf","False","True")</f>
        <v>False</v>
      </c>
      <c r="V495" s="4" t="s">
        <v>37</v>
      </c>
      <c r="W495" s="4" t="s">
        <v>37</v>
      </c>
      <c r="X495" s="0" t="n">
        <v>26.07</v>
      </c>
      <c r="Y495" s="5" t="e">
        <f aca="false">V495-L495</f>
        <v>#VALUE!</v>
      </c>
      <c r="Z495" s="6" t="e">
        <f aca="false">Y495/L495</f>
        <v>#VALUE!</v>
      </c>
      <c r="AA495" s="3" t="n">
        <f aca="false">X495-P495</f>
        <v>-78.54</v>
      </c>
      <c r="AB495" s="6" t="n">
        <f aca="false">AA495/P495</f>
        <v>-0.750788643533123</v>
      </c>
    </row>
    <row r="496" customFormat="false" ht="12.75" hidden="false" customHeight="false" outlineLevel="0" collapsed="false">
      <c r="A496" s="0" t="s">
        <v>578</v>
      </c>
      <c r="B496" s="0" t="n">
        <v>4</v>
      </c>
      <c r="C496" s="0" t="s">
        <v>31</v>
      </c>
      <c r="D496" s="0" t="s">
        <v>31</v>
      </c>
      <c r="E496" s="0" t="n">
        <v>777</v>
      </c>
      <c r="F496" s="0" t="n">
        <v>1026</v>
      </c>
      <c r="G496" s="0" t="n">
        <v>15</v>
      </c>
      <c r="H496" s="0" t="n">
        <v>9</v>
      </c>
      <c r="I496" s="0" t="n">
        <v>9</v>
      </c>
      <c r="J496" s="0" t="n">
        <v>4</v>
      </c>
      <c r="K496" s="0" t="n">
        <v>0.7</v>
      </c>
      <c r="L496" s="1" t="n">
        <v>30426.55</v>
      </c>
      <c r="M496" s="0" t="n">
        <v>29406.18</v>
      </c>
      <c r="N496" s="0" t="n">
        <v>1020.36</v>
      </c>
      <c r="O496" s="0" t="n">
        <v>140879.12</v>
      </c>
      <c r="P496" s="1" t="n">
        <v>57.04</v>
      </c>
      <c r="Q496" s="0" t="n">
        <v>0</v>
      </c>
      <c r="R496" s="0" t="n">
        <v>11</v>
      </c>
      <c r="S496" s="0" t="s">
        <v>579</v>
      </c>
      <c r="T496" s="0" t="str">
        <f aca="false">IF(L496="inf","False","True")</f>
        <v>True</v>
      </c>
      <c r="U496" s="0" t="str">
        <f aca="false">IF(V496="inf","False","True")</f>
        <v>False</v>
      </c>
      <c r="V496" s="4" t="s">
        <v>37</v>
      </c>
      <c r="W496" s="4" t="s">
        <v>37</v>
      </c>
      <c r="X496" s="0" t="n">
        <v>36.88</v>
      </c>
      <c r="Y496" s="5" t="e">
        <f aca="false">V496-L496</f>
        <v>#VALUE!</v>
      </c>
      <c r="Z496" s="6" t="e">
        <f aca="false">Y496/L496</f>
        <v>#VALUE!</v>
      </c>
      <c r="AA496" s="3" t="n">
        <f aca="false">X496-P496</f>
        <v>-20.16</v>
      </c>
      <c r="AB496" s="6" t="n">
        <f aca="false">AA496/P496</f>
        <v>-0.35343618513324</v>
      </c>
    </row>
    <row r="497" customFormat="false" ht="12.75" hidden="false" customHeight="false" outlineLevel="0" collapsed="false">
      <c r="A497" s="0" t="s">
        <v>580</v>
      </c>
      <c r="B497" s="0" t="n">
        <v>0</v>
      </c>
      <c r="C497" s="0" t="s">
        <v>31</v>
      </c>
      <c r="D497" s="0" t="s">
        <v>31</v>
      </c>
      <c r="E497" s="0" t="n">
        <v>1111</v>
      </c>
      <c r="F497" s="0" t="n">
        <v>1298</v>
      </c>
      <c r="G497" s="0" t="n">
        <v>15</v>
      </c>
      <c r="H497" s="0" t="n">
        <v>9</v>
      </c>
      <c r="I497" s="0" t="n">
        <v>9</v>
      </c>
      <c r="J497" s="0" t="n">
        <v>4</v>
      </c>
      <c r="K497" s="0" t="n">
        <v>0.7</v>
      </c>
      <c r="L497" s="1" t="n">
        <v>411062.3</v>
      </c>
      <c r="M497" s="0" t="n">
        <v>409846.96</v>
      </c>
      <c r="N497" s="0" t="n">
        <v>1215.33</v>
      </c>
      <c r="O497" s="0" t="n">
        <v>196233.27</v>
      </c>
      <c r="P497" s="1" t="n">
        <v>222.07</v>
      </c>
      <c r="Q497" s="0" t="n">
        <v>0</v>
      </c>
      <c r="R497" s="0" t="n">
        <v>9</v>
      </c>
      <c r="S497" s="0" t="s">
        <v>32</v>
      </c>
      <c r="T497" s="0" t="str">
        <f aca="false">IF(L497="inf","False","True")</f>
        <v>True</v>
      </c>
      <c r="U497" s="0" t="str">
        <f aca="false">IF(V497="inf","False","True")</f>
        <v>False</v>
      </c>
      <c r="V497" s="4" t="s">
        <v>37</v>
      </c>
      <c r="W497" s="4" t="s">
        <v>37</v>
      </c>
      <c r="X497" s="0" t="n">
        <v>37.09</v>
      </c>
      <c r="Y497" s="5" t="e">
        <f aca="false">V497-L497</f>
        <v>#VALUE!</v>
      </c>
      <c r="Z497" s="6" t="e">
        <f aca="false">Y497/L497</f>
        <v>#VALUE!</v>
      </c>
      <c r="AA497" s="3" t="n">
        <f aca="false">X497-P497</f>
        <v>-184.98</v>
      </c>
      <c r="AB497" s="6" t="n">
        <f aca="false">AA497/P497</f>
        <v>-0.832980591705318</v>
      </c>
    </row>
    <row r="498" customFormat="false" ht="12.75" hidden="false" customHeight="false" outlineLevel="0" collapsed="false">
      <c r="A498" s="0" t="s">
        <v>581</v>
      </c>
      <c r="B498" s="0" t="n">
        <v>1</v>
      </c>
      <c r="C498" s="0" t="s">
        <v>31</v>
      </c>
      <c r="D498" s="0" t="s">
        <v>31</v>
      </c>
      <c r="E498" s="0" t="n">
        <v>1111</v>
      </c>
      <c r="F498" s="0" t="n">
        <v>1462</v>
      </c>
      <c r="G498" s="0" t="n">
        <v>15</v>
      </c>
      <c r="H498" s="0" t="n">
        <v>9</v>
      </c>
      <c r="I498" s="0" t="n">
        <v>9</v>
      </c>
      <c r="J498" s="0" t="n">
        <v>4</v>
      </c>
      <c r="K498" s="0" t="n">
        <v>0.7</v>
      </c>
      <c r="L498" s="1" t="n">
        <v>609461.17</v>
      </c>
      <c r="M498" s="0" t="n">
        <v>608094.89</v>
      </c>
      <c r="N498" s="0" t="n">
        <v>1366.29</v>
      </c>
      <c r="O498" s="0" t="n">
        <v>190604.72</v>
      </c>
      <c r="P498" s="1" t="n">
        <v>187.44</v>
      </c>
      <c r="Q498" s="0" t="n">
        <v>0</v>
      </c>
      <c r="R498" s="0" t="n">
        <v>22</v>
      </c>
      <c r="S498" s="0" t="s">
        <v>32</v>
      </c>
      <c r="T498" s="0" t="str">
        <f aca="false">IF(L498="inf","False","True")</f>
        <v>True</v>
      </c>
      <c r="U498" s="0" t="str">
        <f aca="false">IF(V498="inf","False","True")</f>
        <v>False</v>
      </c>
      <c r="V498" s="4" t="s">
        <v>37</v>
      </c>
      <c r="W498" s="4" t="s">
        <v>37</v>
      </c>
      <c r="X498" s="0" t="n">
        <v>37.09</v>
      </c>
      <c r="Y498" s="5" t="e">
        <f aca="false">V498-L498</f>
        <v>#VALUE!</v>
      </c>
      <c r="Z498" s="6" t="e">
        <f aca="false">Y498/L498</f>
        <v>#VALUE!</v>
      </c>
      <c r="AA498" s="3" t="n">
        <f aca="false">X498-P498</f>
        <v>-150.35</v>
      </c>
      <c r="AB498" s="6" t="n">
        <f aca="false">AA498/P498</f>
        <v>-0.802123346137431</v>
      </c>
    </row>
    <row r="499" customFormat="false" ht="12.75" hidden="false" customHeight="false" outlineLevel="0" collapsed="false">
      <c r="A499" s="0" t="s">
        <v>582</v>
      </c>
      <c r="B499" s="0" t="n">
        <v>2</v>
      </c>
      <c r="C499" s="0" t="s">
        <v>31</v>
      </c>
      <c r="D499" s="0" t="s">
        <v>31</v>
      </c>
      <c r="E499" s="0" t="n">
        <v>1111</v>
      </c>
      <c r="F499" s="0" t="n">
        <v>1440</v>
      </c>
      <c r="G499" s="0" t="n">
        <v>15</v>
      </c>
      <c r="H499" s="0" t="n">
        <v>9</v>
      </c>
      <c r="I499" s="0" t="n">
        <v>9</v>
      </c>
      <c r="J499" s="0" t="n">
        <v>4</v>
      </c>
      <c r="K499" s="0" t="n">
        <v>0.7</v>
      </c>
      <c r="L499" s="1" t="n">
        <v>440480.87</v>
      </c>
      <c r="M499" s="0" t="n">
        <v>439140.32</v>
      </c>
      <c r="N499" s="0" t="n">
        <v>1340.56</v>
      </c>
      <c r="O499" s="0" t="n">
        <v>200771</v>
      </c>
      <c r="P499" s="1" t="n">
        <v>100.09</v>
      </c>
      <c r="Q499" s="0" t="n">
        <v>0</v>
      </c>
      <c r="R499" s="0" t="n">
        <v>14</v>
      </c>
      <c r="S499" s="0" t="s">
        <v>32</v>
      </c>
      <c r="T499" s="0" t="str">
        <f aca="false">IF(L499="inf","False","True")</f>
        <v>True</v>
      </c>
      <c r="U499" s="0" t="str">
        <f aca="false">IF(V499="inf","False","True")</f>
        <v>False</v>
      </c>
      <c r="V499" s="4" t="s">
        <v>37</v>
      </c>
      <c r="W499" s="4" t="s">
        <v>37</v>
      </c>
      <c r="X499" s="0" t="n">
        <v>38.3</v>
      </c>
      <c r="Y499" s="5" t="e">
        <f aca="false">V499-L499</f>
        <v>#VALUE!</v>
      </c>
      <c r="Z499" s="6" t="e">
        <f aca="false">Y499/L499</f>
        <v>#VALUE!</v>
      </c>
      <c r="AA499" s="3" t="n">
        <f aca="false">X499-P499</f>
        <v>-61.79</v>
      </c>
      <c r="AB499" s="6" t="n">
        <f aca="false">AA499/P499</f>
        <v>-0.617344390048956</v>
      </c>
    </row>
    <row r="500" customFormat="false" ht="12.75" hidden="false" customHeight="false" outlineLevel="0" collapsed="false">
      <c r="A500" s="0" t="s">
        <v>583</v>
      </c>
      <c r="B500" s="0" t="n">
        <v>3</v>
      </c>
      <c r="C500" s="0" t="s">
        <v>31</v>
      </c>
      <c r="D500" s="0" t="s">
        <v>31</v>
      </c>
      <c r="E500" s="0" t="n">
        <v>1111</v>
      </c>
      <c r="F500" s="0" t="n">
        <v>1314</v>
      </c>
      <c r="G500" s="0" t="n">
        <v>15</v>
      </c>
      <c r="H500" s="0" t="n">
        <v>9</v>
      </c>
      <c r="I500" s="0" t="n">
        <v>9</v>
      </c>
      <c r="J500" s="0" t="n">
        <v>4</v>
      </c>
      <c r="K500" s="0" t="n">
        <v>0.7</v>
      </c>
      <c r="L500" s="1" t="n">
        <v>390616.56</v>
      </c>
      <c r="M500" s="0" t="n">
        <v>389347.13</v>
      </c>
      <c r="N500" s="0" t="n">
        <v>1269.43</v>
      </c>
      <c r="O500" s="0" t="n">
        <v>187507.22</v>
      </c>
      <c r="P500" s="1" t="n">
        <v>34.27</v>
      </c>
      <c r="Q500" s="0" t="n">
        <v>0</v>
      </c>
      <c r="R500" s="0" t="n">
        <v>2</v>
      </c>
      <c r="S500" s="0" t="s">
        <v>32</v>
      </c>
      <c r="T500" s="0" t="str">
        <f aca="false">IF(L500="inf","False","True")</f>
        <v>True</v>
      </c>
      <c r="U500" s="0" t="str">
        <f aca="false">IF(V500="inf","False","True")</f>
        <v>False</v>
      </c>
      <c r="V500" s="4" t="s">
        <v>37</v>
      </c>
      <c r="W500" s="4" t="s">
        <v>37</v>
      </c>
      <c r="X500" s="0" t="n">
        <v>26.41</v>
      </c>
      <c r="Y500" s="5" t="e">
        <f aca="false">V500-L500</f>
        <v>#VALUE!</v>
      </c>
      <c r="Z500" s="6" t="e">
        <f aca="false">Y500/L500</f>
        <v>#VALUE!</v>
      </c>
      <c r="AA500" s="3" t="n">
        <f aca="false">X500-P500</f>
        <v>-7.86</v>
      </c>
      <c r="AB500" s="6" t="n">
        <f aca="false">AA500/P500</f>
        <v>-0.22935512109717</v>
      </c>
    </row>
    <row r="501" customFormat="false" ht="12.75" hidden="false" customHeight="false" outlineLevel="0" collapsed="false">
      <c r="A501" s="0" t="s">
        <v>584</v>
      </c>
      <c r="B501" s="0" t="n">
        <v>4</v>
      </c>
      <c r="C501" s="0" t="s">
        <v>31</v>
      </c>
      <c r="D501" s="0" t="s">
        <v>31</v>
      </c>
      <c r="E501" s="0" t="n">
        <v>1111</v>
      </c>
      <c r="F501" s="0" t="n">
        <v>1471</v>
      </c>
      <c r="G501" s="0" t="n">
        <v>15</v>
      </c>
      <c r="H501" s="0" t="n">
        <v>9</v>
      </c>
      <c r="I501" s="0" t="n">
        <v>9</v>
      </c>
      <c r="J501" s="0" t="n">
        <v>4</v>
      </c>
      <c r="K501" s="0" t="n">
        <v>0.7</v>
      </c>
      <c r="L501" s="1" t="n">
        <v>45545.79</v>
      </c>
      <c r="M501" s="0" t="n">
        <v>44093.77</v>
      </c>
      <c r="N501" s="0" t="n">
        <v>1452.02</v>
      </c>
      <c r="O501" s="0" t="n">
        <v>192026.56</v>
      </c>
      <c r="P501" s="1" t="n">
        <v>27.92</v>
      </c>
      <c r="Q501" s="0" t="n">
        <v>0</v>
      </c>
      <c r="R501" s="0" t="n">
        <v>1</v>
      </c>
      <c r="S501" s="0" t="s">
        <v>42</v>
      </c>
      <c r="T501" s="0" t="str">
        <f aca="false">IF(L501="inf","False","True")</f>
        <v>True</v>
      </c>
      <c r="U501" s="0" t="str">
        <f aca="false">IF(V501="inf","False","True")</f>
        <v>True</v>
      </c>
      <c r="V501" s="4" t="n">
        <v>453390.83</v>
      </c>
      <c r="W501" s="4" t="n">
        <v>185790.76</v>
      </c>
      <c r="X501" s="0" t="n">
        <v>30.96</v>
      </c>
      <c r="Y501" s="5" t="n">
        <f aca="false">V501-L501</f>
        <v>407845.04</v>
      </c>
      <c r="Z501" s="6" t="n">
        <f aca="false">Y501/L501</f>
        <v>8.95461556380952</v>
      </c>
      <c r="AA501" s="3" t="n">
        <f aca="false">X501-P501</f>
        <v>3.04</v>
      </c>
      <c r="AB501" s="6" t="n">
        <f aca="false">AA501/P501</f>
        <v>0.108882521489971</v>
      </c>
    </row>
    <row r="502" customFormat="false" ht="12.75" hidden="false" customHeight="false" outlineLevel="0" collapsed="false">
      <c r="A502" s="0" t="s">
        <v>585</v>
      </c>
      <c r="B502" s="0" t="n">
        <v>0</v>
      </c>
      <c r="C502" s="0" t="s">
        <v>31</v>
      </c>
      <c r="D502" s="0" t="s">
        <v>31</v>
      </c>
      <c r="E502" s="0" t="n">
        <v>333</v>
      </c>
      <c r="F502" s="0" t="n">
        <v>487</v>
      </c>
      <c r="G502" s="0" t="n">
        <v>15</v>
      </c>
      <c r="H502" s="0" t="n">
        <v>9</v>
      </c>
      <c r="I502" s="0" t="n">
        <v>9</v>
      </c>
      <c r="J502" s="0" t="n">
        <v>8</v>
      </c>
      <c r="K502" s="0" t="n">
        <v>0.7</v>
      </c>
      <c r="L502" s="1" t="n">
        <v>487</v>
      </c>
      <c r="M502" s="0" t="n">
        <v>0</v>
      </c>
      <c r="N502" s="0" t="n">
        <v>487</v>
      </c>
      <c r="O502" s="0" t="n">
        <v>57376</v>
      </c>
      <c r="P502" s="1" t="n">
        <v>31.96</v>
      </c>
      <c r="Q502" s="0" t="n">
        <v>0</v>
      </c>
      <c r="R502" s="0" t="n">
        <v>1</v>
      </c>
      <c r="S502" s="0" t="s">
        <v>42</v>
      </c>
      <c r="T502" s="0" t="str">
        <f aca="false">IF(L502="inf","False","True")</f>
        <v>True</v>
      </c>
      <c r="U502" s="0" t="str">
        <f aca="false">IF(V502="inf","False","True")</f>
        <v>True</v>
      </c>
      <c r="V502" s="4" t="n">
        <v>234848.91</v>
      </c>
      <c r="W502" s="4" t="n">
        <v>50263.94</v>
      </c>
      <c r="X502" s="0" t="n">
        <v>31.49</v>
      </c>
      <c r="Y502" s="5" t="n">
        <f aca="false">V502-L502</f>
        <v>234361.91</v>
      </c>
      <c r="Z502" s="6" t="n">
        <f aca="false">Y502/L502</f>
        <v>481.235954825462</v>
      </c>
      <c r="AA502" s="3" t="n">
        <f aca="false">X502-P502</f>
        <v>-0.470000000000002</v>
      </c>
      <c r="AB502" s="6" t="n">
        <f aca="false">AA502/P502</f>
        <v>-0.0147058823529413</v>
      </c>
    </row>
    <row r="503" customFormat="false" ht="12.75" hidden="false" customHeight="false" outlineLevel="0" collapsed="false">
      <c r="A503" s="0" t="s">
        <v>586</v>
      </c>
      <c r="B503" s="0" t="n">
        <v>1</v>
      </c>
      <c r="C503" s="0" t="s">
        <v>31</v>
      </c>
      <c r="D503" s="0" t="s">
        <v>31</v>
      </c>
      <c r="E503" s="0" t="n">
        <v>333</v>
      </c>
      <c r="F503" s="0" t="n">
        <v>513</v>
      </c>
      <c r="G503" s="0" t="n">
        <v>15</v>
      </c>
      <c r="H503" s="0" t="n">
        <v>9</v>
      </c>
      <c r="I503" s="0" t="n">
        <v>9</v>
      </c>
      <c r="J503" s="0" t="n">
        <v>8</v>
      </c>
      <c r="K503" s="0" t="n">
        <v>0.7</v>
      </c>
      <c r="L503" s="1" t="n">
        <v>513</v>
      </c>
      <c r="M503" s="0" t="n">
        <v>0</v>
      </c>
      <c r="N503" s="0" t="n">
        <v>513</v>
      </c>
      <c r="O503" s="0" t="n">
        <v>56760</v>
      </c>
      <c r="P503" s="1" t="n">
        <v>58.94</v>
      </c>
      <c r="Q503" s="0" t="n">
        <v>0</v>
      </c>
      <c r="R503" s="0" t="n">
        <v>1</v>
      </c>
      <c r="S503" s="0" t="s">
        <v>42</v>
      </c>
      <c r="T503" s="0" t="str">
        <f aca="false">IF(L503="inf","False","True")</f>
        <v>True</v>
      </c>
      <c r="U503" s="0" t="str">
        <f aca="false">IF(V503="inf","False","True")</f>
        <v>True</v>
      </c>
      <c r="V503" s="4" t="n">
        <v>35950.43</v>
      </c>
      <c r="W503" s="4" t="n">
        <v>55875.69</v>
      </c>
      <c r="X503" s="0" t="n">
        <v>538.75</v>
      </c>
      <c r="Y503" s="5" t="n">
        <f aca="false">V503-L503</f>
        <v>35437.43</v>
      </c>
      <c r="Z503" s="6" t="n">
        <f aca="false">Y503/L503</f>
        <v>69.0788109161793</v>
      </c>
      <c r="AA503" s="3" t="n">
        <f aca="false">X503-P503</f>
        <v>479.81</v>
      </c>
      <c r="AB503" s="6" t="n">
        <f aca="false">AA503/P503</f>
        <v>8.14065151001018</v>
      </c>
    </row>
    <row r="504" customFormat="false" ht="12.75" hidden="false" customHeight="false" outlineLevel="0" collapsed="false">
      <c r="A504" s="0" t="s">
        <v>587</v>
      </c>
      <c r="B504" s="0" t="n">
        <v>2</v>
      </c>
      <c r="C504" s="0" t="s">
        <v>31</v>
      </c>
      <c r="D504" s="0" t="s">
        <v>31</v>
      </c>
      <c r="E504" s="0" t="n">
        <v>333</v>
      </c>
      <c r="F504" s="0" t="n">
        <v>485</v>
      </c>
      <c r="G504" s="0" t="n">
        <v>15</v>
      </c>
      <c r="H504" s="0" t="n">
        <v>9</v>
      </c>
      <c r="I504" s="0" t="n">
        <v>9</v>
      </c>
      <c r="J504" s="0" t="n">
        <v>8</v>
      </c>
      <c r="K504" s="0" t="n">
        <v>0.7</v>
      </c>
      <c r="L504" s="1" t="n">
        <v>485</v>
      </c>
      <c r="M504" s="0" t="n">
        <v>0</v>
      </c>
      <c r="N504" s="0" t="n">
        <v>485</v>
      </c>
      <c r="O504" s="0" t="n">
        <v>55993</v>
      </c>
      <c r="P504" s="1" t="n">
        <v>26.55</v>
      </c>
      <c r="Q504" s="0" t="n">
        <v>0</v>
      </c>
      <c r="R504" s="0" t="n">
        <v>2</v>
      </c>
      <c r="S504" s="0" t="s">
        <v>42</v>
      </c>
      <c r="T504" s="0" t="str">
        <f aca="false">IF(L504="inf","False","True")</f>
        <v>True</v>
      </c>
      <c r="U504" s="0" t="str">
        <f aca="false">IF(V504="inf","False","True")</f>
        <v>True</v>
      </c>
      <c r="V504" s="4" t="n">
        <v>107359.13</v>
      </c>
      <c r="W504" s="4" t="n">
        <v>51988.89</v>
      </c>
      <c r="X504" s="0" t="n">
        <v>7.55</v>
      </c>
      <c r="Y504" s="5" t="n">
        <f aca="false">V504-L504</f>
        <v>106874.13</v>
      </c>
      <c r="Z504" s="6" t="n">
        <f aca="false">Y504/L504</f>
        <v>220.359030927835</v>
      </c>
      <c r="AA504" s="3" t="n">
        <f aca="false">X504-P504</f>
        <v>-19</v>
      </c>
      <c r="AB504" s="6" t="n">
        <f aca="false">AA504/P504</f>
        <v>-0.715630885122411</v>
      </c>
    </row>
    <row r="505" customFormat="false" ht="12.75" hidden="false" customHeight="false" outlineLevel="0" collapsed="false">
      <c r="A505" s="0" t="s">
        <v>588</v>
      </c>
      <c r="B505" s="0" t="n">
        <v>3</v>
      </c>
      <c r="C505" s="0" t="s">
        <v>31</v>
      </c>
      <c r="D505" s="0" t="s">
        <v>31</v>
      </c>
      <c r="E505" s="0" t="n">
        <v>333</v>
      </c>
      <c r="F505" s="0" t="n">
        <v>488</v>
      </c>
      <c r="G505" s="0" t="n">
        <v>15</v>
      </c>
      <c r="H505" s="0" t="n">
        <v>9</v>
      </c>
      <c r="I505" s="0" t="n">
        <v>9</v>
      </c>
      <c r="J505" s="0" t="n">
        <v>8</v>
      </c>
      <c r="K505" s="0" t="n">
        <v>0.7</v>
      </c>
      <c r="L505" s="1" t="n">
        <v>146416.42</v>
      </c>
      <c r="M505" s="0" t="n">
        <v>145985</v>
      </c>
      <c r="N505" s="0" t="n">
        <v>431.42</v>
      </c>
      <c r="O505" s="0" t="n">
        <v>49679.87</v>
      </c>
      <c r="P505" s="1" t="n">
        <v>638.78</v>
      </c>
      <c r="Q505" s="0" t="n">
        <v>0.01</v>
      </c>
      <c r="R505" s="0" t="n">
        <v>3</v>
      </c>
      <c r="S505" s="0" t="s">
        <v>32</v>
      </c>
      <c r="T505" s="0" t="str">
        <f aca="false">IF(L505="inf","False","True")</f>
        <v>True</v>
      </c>
      <c r="U505" s="0" t="str">
        <f aca="false">IF(V505="inf","False","True")</f>
        <v>True</v>
      </c>
      <c r="V505" s="4" t="n">
        <v>147710.45</v>
      </c>
      <c r="W505" s="4" t="n">
        <v>49386.1</v>
      </c>
      <c r="X505" s="0" t="n">
        <v>2.76</v>
      </c>
      <c r="Y505" s="5" t="n">
        <f aca="false">V505-L505</f>
        <v>1294.03</v>
      </c>
      <c r="Z505" s="6" t="n">
        <f aca="false">Y505/L505</f>
        <v>0.0088380114743961</v>
      </c>
      <c r="AA505" s="3" t="n">
        <f aca="false">X505-P505</f>
        <v>-636.02</v>
      </c>
      <c r="AB505" s="6" t="n">
        <f aca="false">AA505/P505</f>
        <v>-0.99567926359623</v>
      </c>
    </row>
    <row r="506" customFormat="false" ht="12.75" hidden="false" customHeight="false" outlineLevel="0" collapsed="false">
      <c r="A506" s="0" t="s">
        <v>589</v>
      </c>
      <c r="B506" s="0" t="n">
        <v>4</v>
      </c>
      <c r="C506" s="0" t="s">
        <v>31</v>
      </c>
      <c r="D506" s="0" t="s">
        <v>31</v>
      </c>
      <c r="E506" s="0" t="n">
        <v>333</v>
      </c>
      <c r="F506" s="0" t="n">
        <v>500</v>
      </c>
      <c r="G506" s="0" t="n">
        <v>15</v>
      </c>
      <c r="H506" s="0" t="n">
        <v>9</v>
      </c>
      <c r="I506" s="0" t="n">
        <v>9</v>
      </c>
      <c r="J506" s="0" t="n">
        <v>8</v>
      </c>
      <c r="K506" s="0" t="n">
        <v>0.7</v>
      </c>
      <c r="L506" s="1" t="n">
        <v>114077.53</v>
      </c>
      <c r="M506" s="0" t="n">
        <v>113613.78</v>
      </c>
      <c r="N506" s="0" t="n">
        <v>463.74</v>
      </c>
      <c r="O506" s="0" t="n">
        <v>48026.12</v>
      </c>
      <c r="P506" s="1" t="n">
        <v>606.94</v>
      </c>
      <c r="Q506" s="0" t="n">
        <v>0</v>
      </c>
      <c r="R506" s="0" t="n">
        <v>5</v>
      </c>
      <c r="S506" s="0" t="s">
        <v>32</v>
      </c>
      <c r="T506" s="0" t="str">
        <f aca="false">IF(L506="inf","False","True")</f>
        <v>True</v>
      </c>
      <c r="U506" s="0" t="str">
        <f aca="false">IF(V506="inf","False","True")</f>
        <v>True</v>
      </c>
      <c r="V506" s="4" t="n">
        <v>112027.99</v>
      </c>
      <c r="W506" s="4" t="n">
        <v>49345.41</v>
      </c>
      <c r="X506" s="0" t="n">
        <v>121.11</v>
      </c>
      <c r="Y506" s="5" t="n">
        <f aca="false">V506-L506</f>
        <v>-2049.53999999999</v>
      </c>
      <c r="Z506" s="6" t="n">
        <f aca="false">Y506/L506</f>
        <v>-0.0179662024589767</v>
      </c>
      <c r="AA506" s="3" t="n">
        <f aca="false">X506-P506</f>
        <v>-485.83</v>
      </c>
      <c r="AB506" s="6" t="n">
        <f aca="false">AA506/P506</f>
        <v>-0.800458035390648</v>
      </c>
    </row>
    <row r="507" customFormat="false" ht="12.75" hidden="false" customHeight="false" outlineLevel="0" collapsed="false">
      <c r="A507" s="0" t="s">
        <v>590</v>
      </c>
      <c r="B507" s="0" t="n">
        <v>0</v>
      </c>
      <c r="C507" s="0" t="s">
        <v>31</v>
      </c>
      <c r="D507" s="0" t="s">
        <v>31</v>
      </c>
      <c r="E507" s="0" t="n">
        <v>555</v>
      </c>
      <c r="F507" s="0" t="n">
        <v>815</v>
      </c>
      <c r="G507" s="0" t="n">
        <v>15</v>
      </c>
      <c r="H507" s="0" t="n">
        <v>9</v>
      </c>
      <c r="I507" s="0" t="n">
        <v>9</v>
      </c>
      <c r="J507" s="0" t="n">
        <v>8</v>
      </c>
      <c r="K507" s="0" t="n">
        <v>0.7</v>
      </c>
      <c r="L507" s="1" t="n">
        <v>815</v>
      </c>
      <c r="M507" s="0" t="n">
        <v>0</v>
      </c>
      <c r="N507" s="0" t="n">
        <v>815</v>
      </c>
      <c r="O507" s="0" t="n">
        <v>95613</v>
      </c>
      <c r="P507" s="1" t="n">
        <v>29.55</v>
      </c>
      <c r="Q507" s="0" t="n">
        <v>0</v>
      </c>
      <c r="R507" s="0" t="n">
        <v>1</v>
      </c>
      <c r="S507" s="0" t="s">
        <v>42</v>
      </c>
      <c r="T507" s="0" t="str">
        <f aca="false">IF(L507="inf","False","True")</f>
        <v>True</v>
      </c>
      <c r="U507" s="0" t="str">
        <f aca="false">IF(V507="inf","False","True")</f>
        <v>True</v>
      </c>
      <c r="V507" s="4" t="n">
        <v>308872.29</v>
      </c>
      <c r="W507" s="4" t="n">
        <v>83924.08</v>
      </c>
      <c r="X507" s="0" t="n">
        <v>235.93</v>
      </c>
      <c r="Y507" s="5" t="n">
        <f aca="false">V507-L507</f>
        <v>308057.29</v>
      </c>
      <c r="Z507" s="6" t="n">
        <f aca="false">Y507/L507</f>
        <v>377.984404907975</v>
      </c>
      <c r="AA507" s="3" t="n">
        <f aca="false">X507-P507</f>
        <v>206.38</v>
      </c>
      <c r="AB507" s="6" t="n">
        <f aca="false">AA507/P507</f>
        <v>6.98409475465313</v>
      </c>
    </row>
    <row r="508" customFormat="false" ht="12.75" hidden="false" customHeight="false" outlineLevel="0" collapsed="false">
      <c r="A508" s="0" t="s">
        <v>591</v>
      </c>
      <c r="B508" s="0" t="n">
        <v>1</v>
      </c>
      <c r="C508" s="0" t="s">
        <v>31</v>
      </c>
      <c r="D508" s="0" t="s">
        <v>31</v>
      </c>
      <c r="E508" s="0" t="n">
        <v>555</v>
      </c>
      <c r="F508" s="0" t="n">
        <v>859</v>
      </c>
      <c r="G508" s="0" t="n">
        <v>15</v>
      </c>
      <c r="H508" s="0" t="n">
        <v>9</v>
      </c>
      <c r="I508" s="0" t="n">
        <v>9</v>
      </c>
      <c r="J508" s="0" t="n">
        <v>8</v>
      </c>
      <c r="K508" s="0" t="n">
        <v>0.7</v>
      </c>
      <c r="L508" s="1" t="n">
        <v>859</v>
      </c>
      <c r="M508" s="0" t="n">
        <v>0</v>
      </c>
      <c r="N508" s="0" t="n">
        <v>859</v>
      </c>
      <c r="O508" s="0" t="n">
        <v>95266</v>
      </c>
      <c r="P508" s="1" t="n">
        <v>43.16</v>
      </c>
      <c r="Q508" s="0" t="n">
        <v>0</v>
      </c>
      <c r="R508" s="0" t="n">
        <v>5</v>
      </c>
      <c r="S508" s="0" t="s">
        <v>42</v>
      </c>
      <c r="T508" s="0" t="str">
        <f aca="false">IF(L508="inf","False","True")</f>
        <v>True</v>
      </c>
      <c r="U508" s="0" t="str">
        <f aca="false">IF(V508="inf","False","True")</f>
        <v>True</v>
      </c>
      <c r="V508" s="4" t="n">
        <v>180198.67</v>
      </c>
      <c r="W508" s="4" t="n">
        <v>86330.07</v>
      </c>
      <c r="X508" s="0" t="n">
        <v>515.14</v>
      </c>
      <c r="Y508" s="5" t="n">
        <f aca="false">V508-L508</f>
        <v>179339.67</v>
      </c>
      <c r="Z508" s="6" t="n">
        <f aca="false">Y508/L508</f>
        <v>208.777264260768</v>
      </c>
      <c r="AA508" s="3" t="n">
        <f aca="false">X508-P508</f>
        <v>471.98</v>
      </c>
      <c r="AB508" s="6" t="n">
        <f aca="false">AA508/P508</f>
        <v>10.9355885078777</v>
      </c>
    </row>
    <row r="509" customFormat="false" ht="12.75" hidden="false" customHeight="false" outlineLevel="0" collapsed="false">
      <c r="A509" s="0" t="s">
        <v>592</v>
      </c>
      <c r="B509" s="0" t="n">
        <v>2</v>
      </c>
      <c r="C509" s="0" t="s">
        <v>31</v>
      </c>
      <c r="D509" s="0" t="s">
        <v>31</v>
      </c>
      <c r="E509" s="0" t="n">
        <v>555</v>
      </c>
      <c r="F509" s="0" t="n">
        <v>812</v>
      </c>
      <c r="G509" s="0" t="n">
        <v>15</v>
      </c>
      <c r="H509" s="0" t="n">
        <v>9</v>
      </c>
      <c r="I509" s="0" t="n">
        <v>9</v>
      </c>
      <c r="J509" s="0" t="n">
        <v>8</v>
      </c>
      <c r="K509" s="0" t="n">
        <v>0.7</v>
      </c>
      <c r="L509" s="1" t="n">
        <v>812</v>
      </c>
      <c r="M509" s="0" t="n">
        <v>0</v>
      </c>
      <c r="N509" s="0" t="n">
        <v>812</v>
      </c>
      <c r="O509" s="0" t="n">
        <v>91187</v>
      </c>
      <c r="P509" s="1" t="n">
        <v>24.29</v>
      </c>
      <c r="Q509" s="0" t="n">
        <v>0</v>
      </c>
      <c r="R509" s="0" t="n">
        <v>1</v>
      </c>
      <c r="S509" s="0" t="s">
        <v>42</v>
      </c>
      <c r="T509" s="0" t="str">
        <f aca="false">IF(L509="inf","False","True")</f>
        <v>True</v>
      </c>
      <c r="U509" s="0" t="str">
        <f aca="false">IF(V509="inf","False","True")</f>
        <v>True</v>
      </c>
      <c r="V509" s="4" t="n">
        <v>197325.85</v>
      </c>
      <c r="W509" s="4" t="n">
        <v>85710.49</v>
      </c>
      <c r="X509" s="0" t="n">
        <v>282.61</v>
      </c>
      <c r="Y509" s="5" t="n">
        <f aca="false">V509-L509</f>
        <v>196513.85</v>
      </c>
      <c r="Z509" s="6" t="n">
        <f aca="false">Y509/L509</f>
        <v>242.012130541872</v>
      </c>
      <c r="AA509" s="3" t="n">
        <f aca="false">X509-P509</f>
        <v>258.32</v>
      </c>
      <c r="AB509" s="6" t="n">
        <f aca="false">AA509/P509</f>
        <v>10.6348291477974</v>
      </c>
    </row>
    <row r="510" customFormat="false" ht="12.75" hidden="false" customHeight="false" outlineLevel="0" collapsed="false">
      <c r="A510" s="0" t="s">
        <v>593</v>
      </c>
      <c r="B510" s="0" t="n">
        <v>3</v>
      </c>
      <c r="C510" s="0" t="s">
        <v>31</v>
      </c>
      <c r="D510" s="0" t="s">
        <v>31</v>
      </c>
      <c r="E510" s="0" t="n">
        <v>555</v>
      </c>
      <c r="F510" s="0" t="n">
        <v>817</v>
      </c>
      <c r="G510" s="0" t="n">
        <v>15</v>
      </c>
      <c r="H510" s="0" t="n">
        <v>9</v>
      </c>
      <c r="I510" s="0" t="n">
        <v>9</v>
      </c>
      <c r="J510" s="0" t="n">
        <v>8</v>
      </c>
      <c r="K510" s="0" t="n">
        <v>0.7</v>
      </c>
      <c r="L510" s="1" t="n">
        <v>255801.45</v>
      </c>
      <c r="M510" s="0" t="n">
        <v>255042.34</v>
      </c>
      <c r="N510" s="0" t="n">
        <v>759.1</v>
      </c>
      <c r="O510" s="0" t="n">
        <v>81404.72</v>
      </c>
      <c r="P510" s="1" t="n">
        <v>610.85</v>
      </c>
      <c r="Q510" s="0" t="n">
        <v>0</v>
      </c>
      <c r="R510" s="0" t="n">
        <v>2</v>
      </c>
      <c r="S510" s="0" t="s">
        <v>594</v>
      </c>
      <c r="T510" s="0" t="str">
        <f aca="false">IF(L510="inf","False","True")</f>
        <v>True</v>
      </c>
      <c r="U510" s="0" t="str">
        <f aca="false">IF(V510="inf","False","True")</f>
        <v>True</v>
      </c>
      <c r="V510" s="4" t="n">
        <v>161145.02</v>
      </c>
      <c r="W510" s="4" t="n">
        <v>83458.63</v>
      </c>
      <c r="X510" s="0" t="n">
        <v>165.01</v>
      </c>
      <c r="Y510" s="5" t="n">
        <f aca="false">V510-L510</f>
        <v>-94656.43</v>
      </c>
      <c r="Z510" s="6" t="n">
        <f aca="false">Y510/L510</f>
        <v>-0.37003867648131</v>
      </c>
      <c r="AA510" s="3" t="n">
        <f aca="false">X510-P510</f>
        <v>-445.84</v>
      </c>
      <c r="AB510" s="6" t="n">
        <f aca="false">AA510/P510</f>
        <v>-0.729868216419743</v>
      </c>
    </row>
    <row r="511" customFormat="false" ht="12.75" hidden="false" customHeight="false" outlineLevel="0" collapsed="false">
      <c r="A511" s="0" t="s">
        <v>595</v>
      </c>
      <c r="B511" s="0" t="n">
        <v>4</v>
      </c>
      <c r="C511" s="0" t="s">
        <v>31</v>
      </c>
      <c r="D511" s="0" t="s">
        <v>31</v>
      </c>
      <c r="E511" s="0" t="n">
        <v>555</v>
      </c>
      <c r="F511" s="0" t="n">
        <v>838</v>
      </c>
      <c r="G511" s="0" t="n">
        <v>15</v>
      </c>
      <c r="H511" s="0" t="n">
        <v>9</v>
      </c>
      <c r="I511" s="0" t="n">
        <v>9</v>
      </c>
      <c r="J511" s="0" t="n">
        <v>8</v>
      </c>
      <c r="K511" s="0" t="n">
        <v>0.7</v>
      </c>
      <c r="L511" s="1" t="n">
        <v>168407.24</v>
      </c>
      <c r="M511" s="0" t="n">
        <v>167625.68</v>
      </c>
      <c r="N511" s="0" t="n">
        <v>781.56</v>
      </c>
      <c r="O511" s="0" t="n">
        <v>97647.23</v>
      </c>
      <c r="P511" s="1" t="n">
        <v>606.42</v>
      </c>
      <c r="Q511" s="0" t="n">
        <v>0.18</v>
      </c>
      <c r="R511" s="0" t="n">
        <v>6</v>
      </c>
      <c r="S511" s="0" t="s">
        <v>32</v>
      </c>
      <c r="T511" s="0" t="str">
        <f aca="false">IF(L511="inf","False","True")</f>
        <v>True</v>
      </c>
      <c r="U511" s="0" t="str">
        <f aca="false">IF(V511="inf","False","True")</f>
        <v>True</v>
      </c>
      <c r="V511" s="4" t="n">
        <v>196216.21</v>
      </c>
      <c r="W511" s="4" t="n">
        <v>82825.58</v>
      </c>
      <c r="X511" s="0" t="n">
        <v>425.17</v>
      </c>
      <c r="Y511" s="5" t="n">
        <f aca="false">V511-L511</f>
        <v>27808.97</v>
      </c>
      <c r="Z511" s="6" t="n">
        <f aca="false">Y511/L511</f>
        <v>0.165129302041884</v>
      </c>
      <c r="AA511" s="3" t="n">
        <f aca="false">X511-P511</f>
        <v>-181.25</v>
      </c>
      <c r="AB511" s="6" t="n">
        <f aca="false">AA511/P511</f>
        <v>-0.298885261040203</v>
      </c>
    </row>
    <row r="512" customFormat="false" ht="12.75" hidden="false" customHeight="false" outlineLevel="0" collapsed="false">
      <c r="A512" s="0" t="s">
        <v>596</v>
      </c>
      <c r="B512" s="0" t="n">
        <v>0</v>
      </c>
      <c r="C512" s="0" t="s">
        <v>31</v>
      </c>
      <c r="D512" s="0" t="s">
        <v>31</v>
      </c>
      <c r="E512" s="0" t="n">
        <v>777</v>
      </c>
      <c r="F512" s="0" t="n">
        <v>1146</v>
      </c>
      <c r="G512" s="0" t="n">
        <v>15</v>
      </c>
      <c r="H512" s="0" t="n">
        <v>9</v>
      </c>
      <c r="I512" s="0" t="n">
        <v>9</v>
      </c>
      <c r="J512" s="0" t="n">
        <v>8</v>
      </c>
      <c r="K512" s="0" t="n">
        <v>0.7</v>
      </c>
      <c r="L512" s="1" t="n">
        <v>1146</v>
      </c>
      <c r="M512" s="0" t="n">
        <v>0</v>
      </c>
      <c r="N512" s="0" t="n">
        <v>1146</v>
      </c>
      <c r="O512" s="0" t="n">
        <v>133776</v>
      </c>
      <c r="P512" s="1" t="n">
        <v>52.41</v>
      </c>
      <c r="Q512" s="0" t="n">
        <v>0</v>
      </c>
      <c r="R512" s="0" t="n">
        <v>1</v>
      </c>
      <c r="S512" s="0" t="s">
        <v>42</v>
      </c>
      <c r="T512" s="0" t="str">
        <f aca="false">IF(L512="inf","False","True")</f>
        <v>True</v>
      </c>
      <c r="U512" s="0" t="str">
        <f aca="false">IF(V512="inf","False","True")</f>
        <v>True</v>
      </c>
      <c r="V512" s="4" t="n">
        <v>452958.67</v>
      </c>
      <c r="W512" s="4" t="n">
        <v>117622.03</v>
      </c>
      <c r="X512" s="0" t="n">
        <v>182.16</v>
      </c>
      <c r="Y512" s="5" t="n">
        <f aca="false">V512-L512</f>
        <v>451812.67</v>
      </c>
      <c r="Z512" s="6" t="n">
        <f aca="false">Y512/L512</f>
        <v>394.251893542757</v>
      </c>
      <c r="AA512" s="3" t="n">
        <f aca="false">X512-P512</f>
        <v>129.75</v>
      </c>
      <c r="AB512" s="6" t="n">
        <f aca="false">AA512/P512</f>
        <v>2.4756725815684</v>
      </c>
    </row>
    <row r="513" customFormat="false" ht="12.75" hidden="false" customHeight="false" outlineLevel="0" collapsed="false">
      <c r="A513" s="0" t="s">
        <v>597</v>
      </c>
      <c r="B513" s="0" t="n">
        <v>1</v>
      </c>
      <c r="C513" s="0" t="s">
        <v>31</v>
      </c>
      <c r="D513" s="0" t="s">
        <v>31</v>
      </c>
      <c r="E513" s="0" t="n">
        <v>777</v>
      </c>
      <c r="F513" s="0" t="n">
        <v>1207</v>
      </c>
      <c r="G513" s="0" t="n">
        <v>15</v>
      </c>
      <c r="H513" s="0" t="n">
        <v>9</v>
      </c>
      <c r="I513" s="0" t="n">
        <v>9</v>
      </c>
      <c r="J513" s="0" t="n">
        <v>8</v>
      </c>
      <c r="K513" s="0" t="n">
        <v>0.7</v>
      </c>
      <c r="L513" s="1" t="n">
        <v>1207</v>
      </c>
      <c r="M513" s="0" t="n">
        <v>0</v>
      </c>
      <c r="N513" s="0" t="n">
        <v>1207</v>
      </c>
      <c r="O513" s="0" t="n">
        <v>132521</v>
      </c>
      <c r="P513" s="1" t="n">
        <v>55.82</v>
      </c>
      <c r="Q513" s="0" t="n">
        <v>0</v>
      </c>
      <c r="R513" s="0" t="n">
        <v>7</v>
      </c>
      <c r="S513" s="0" t="s">
        <v>42</v>
      </c>
      <c r="T513" s="0" t="str">
        <f aca="false">IF(L513="inf","False","True")</f>
        <v>True</v>
      </c>
      <c r="U513" s="0" t="str">
        <f aca="false">IF(V513="inf","False","True")</f>
        <v>True</v>
      </c>
      <c r="V513" s="4" t="n">
        <v>405827.89</v>
      </c>
      <c r="W513" s="4" t="n">
        <v>119641.19</v>
      </c>
      <c r="X513" s="0" t="n">
        <v>73.46</v>
      </c>
      <c r="Y513" s="5" t="n">
        <f aca="false">V513-L513</f>
        <v>404620.89</v>
      </c>
      <c r="Z513" s="6" t="n">
        <f aca="false">Y513/L513</f>
        <v>335.228574979288</v>
      </c>
      <c r="AA513" s="3" t="n">
        <f aca="false">X513-P513</f>
        <v>17.64</v>
      </c>
      <c r="AB513" s="6" t="n">
        <f aca="false">AA513/P513</f>
        <v>0.316015764958796</v>
      </c>
    </row>
    <row r="514" customFormat="false" ht="12.75" hidden="false" customHeight="false" outlineLevel="0" collapsed="false">
      <c r="A514" s="0" t="s">
        <v>598</v>
      </c>
      <c r="B514" s="0" t="n">
        <v>2</v>
      </c>
      <c r="C514" s="0" t="s">
        <v>31</v>
      </c>
      <c r="D514" s="0" t="s">
        <v>31</v>
      </c>
      <c r="E514" s="0" t="n">
        <v>777</v>
      </c>
      <c r="F514" s="0" t="n">
        <v>1141</v>
      </c>
      <c r="G514" s="0" t="n">
        <v>15</v>
      </c>
      <c r="H514" s="0" t="n">
        <v>9</v>
      </c>
      <c r="I514" s="0" t="n">
        <v>9</v>
      </c>
      <c r="J514" s="0" t="n">
        <v>8</v>
      </c>
      <c r="K514" s="0" t="n">
        <v>0.7</v>
      </c>
      <c r="L514" s="1" t="n">
        <v>1141</v>
      </c>
      <c r="M514" s="0" t="n">
        <v>0</v>
      </c>
      <c r="N514" s="0" t="n">
        <v>1141</v>
      </c>
      <c r="O514" s="0" t="n">
        <v>128925</v>
      </c>
      <c r="P514" s="1" t="n">
        <v>25.33</v>
      </c>
      <c r="Q514" s="0" t="n">
        <v>0</v>
      </c>
      <c r="R514" s="0" t="n">
        <v>5</v>
      </c>
      <c r="S514" s="0" t="s">
        <v>42</v>
      </c>
      <c r="T514" s="0" t="str">
        <f aca="false">IF(L514="inf","False","True")</f>
        <v>True</v>
      </c>
      <c r="U514" s="0" t="str">
        <f aca="false">IF(V514="inf","False","True")</f>
        <v>False</v>
      </c>
      <c r="V514" s="4" t="s">
        <v>37</v>
      </c>
      <c r="W514" s="4" t="s">
        <v>37</v>
      </c>
      <c r="X514" s="0" t="n">
        <v>151.72</v>
      </c>
      <c r="Y514" s="5" t="e">
        <f aca="false">V514-L514</f>
        <v>#VALUE!</v>
      </c>
      <c r="Z514" s="6" t="e">
        <f aca="false">Y514/L514</f>
        <v>#VALUE!</v>
      </c>
      <c r="AA514" s="3" t="n">
        <f aca="false">X514-P514</f>
        <v>126.39</v>
      </c>
      <c r="AB514" s="6" t="n">
        <f aca="false">AA514/P514</f>
        <v>4.98973549151204</v>
      </c>
    </row>
    <row r="515" customFormat="false" ht="12.75" hidden="false" customHeight="false" outlineLevel="0" collapsed="false">
      <c r="A515" s="0" t="s">
        <v>599</v>
      </c>
      <c r="B515" s="0" t="n">
        <v>3</v>
      </c>
      <c r="C515" s="0" t="s">
        <v>31</v>
      </c>
      <c r="D515" s="0" t="s">
        <v>31</v>
      </c>
      <c r="E515" s="0" t="n">
        <v>777</v>
      </c>
      <c r="F515" s="0" t="n">
        <v>1148</v>
      </c>
      <c r="G515" s="0" t="n">
        <v>15</v>
      </c>
      <c r="H515" s="0" t="n">
        <v>9</v>
      </c>
      <c r="I515" s="0" t="n">
        <v>9</v>
      </c>
      <c r="J515" s="0" t="n">
        <v>8</v>
      </c>
      <c r="K515" s="0" t="n">
        <v>0.7</v>
      </c>
      <c r="L515" s="1" t="n">
        <v>321573.35</v>
      </c>
      <c r="M515" s="0" t="n">
        <v>320484.77</v>
      </c>
      <c r="N515" s="0" t="n">
        <v>1088.58</v>
      </c>
      <c r="O515" s="0" t="n">
        <v>114335.93</v>
      </c>
      <c r="P515" s="1" t="n">
        <v>648.37</v>
      </c>
      <c r="Q515" s="0" t="n">
        <v>0.03</v>
      </c>
      <c r="R515" s="0" t="n">
        <v>6</v>
      </c>
      <c r="S515" s="0" t="s">
        <v>600</v>
      </c>
      <c r="T515" s="0" t="str">
        <f aca="false">IF(L515="inf","False","True")</f>
        <v>True</v>
      </c>
      <c r="U515" s="0" t="str">
        <f aca="false">IF(V515="inf","False","True")</f>
        <v>True</v>
      </c>
      <c r="V515" s="4" t="n">
        <v>241612.92</v>
      </c>
      <c r="W515" s="4" t="n">
        <v>118120.24</v>
      </c>
      <c r="X515" s="0" t="n">
        <v>390.16</v>
      </c>
      <c r="Y515" s="5" t="n">
        <f aca="false">V515-L515</f>
        <v>-79960.43</v>
      </c>
      <c r="Z515" s="6" t="n">
        <f aca="false">Y515/L515</f>
        <v>-0.248653783032705</v>
      </c>
      <c r="AA515" s="3" t="n">
        <f aca="false">X515-P515</f>
        <v>-258.21</v>
      </c>
      <c r="AB515" s="6" t="n">
        <f aca="false">AA515/P515</f>
        <v>-0.398244829341271</v>
      </c>
    </row>
    <row r="516" customFormat="false" ht="12.75" hidden="false" customHeight="false" outlineLevel="0" collapsed="false">
      <c r="A516" s="0" t="s">
        <v>601</v>
      </c>
      <c r="B516" s="0" t="n">
        <v>4</v>
      </c>
      <c r="C516" s="0" t="s">
        <v>31</v>
      </c>
      <c r="D516" s="0" t="s">
        <v>31</v>
      </c>
      <c r="E516" s="0" t="n">
        <v>777</v>
      </c>
      <c r="F516" s="0" t="n">
        <v>1177</v>
      </c>
      <c r="G516" s="0" t="n">
        <v>15</v>
      </c>
      <c r="H516" s="0" t="n">
        <v>9</v>
      </c>
      <c r="I516" s="0" t="n">
        <v>9</v>
      </c>
      <c r="J516" s="0" t="n">
        <v>8</v>
      </c>
      <c r="K516" s="0" t="n">
        <v>0.7</v>
      </c>
      <c r="L516" s="1" t="n">
        <v>268952.23</v>
      </c>
      <c r="M516" s="0" t="n">
        <v>267867.4</v>
      </c>
      <c r="N516" s="0" t="n">
        <v>1084.83</v>
      </c>
      <c r="O516" s="0" t="n">
        <v>112611.29</v>
      </c>
      <c r="P516" s="1" t="n">
        <v>622.93</v>
      </c>
      <c r="Q516" s="0" t="n">
        <v>0.01</v>
      </c>
      <c r="R516" s="0" t="n">
        <v>3</v>
      </c>
      <c r="S516" s="0" t="s">
        <v>32</v>
      </c>
      <c r="T516" s="0" t="str">
        <f aca="false">IF(L516="inf","False","True")</f>
        <v>True</v>
      </c>
      <c r="U516" s="0" t="str">
        <f aca="false">IF(V516="inf","False","True")</f>
        <v>True</v>
      </c>
      <c r="V516" s="4" t="n">
        <v>267965.49</v>
      </c>
      <c r="W516" s="4" t="n">
        <v>126337.13</v>
      </c>
      <c r="X516" s="0" t="n">
        <v>210.71</v>
      </c>
      <c r="Y516" s="5" t="n">
        <f aca="false">V516-L516</f>
        <v>-986.739999999991</v>
      </c>
      <c r="Z516" s="6" t="n">
        <f aca="false">Y516/L516</f>
        <v>-0.00366882996285248</v>
      </c>
      <c r="AA516" s="3" t="n">
        <f aca="false">X516-P516</f>
        <v>-412.22</v>
      </c>
      <c r="AB516" s="6" t="n">
        <f aca="false">AA516/P516</f>
        <v>-0.661743695118232</v>
      </c>
    </row>
    <row r="517" customFormat="false" ht="12.75" hidden="false" customHeight="false" outlineLevel="0" collapsed="false">
      <c r="A517" s="0" t="s">
        <v>602</v>
      </c>
      <c r="B517" s="0" t="n">
        <v>0</v>
      </c>
      <c r="C517" s="0" t="s">
        <v>31</v>
      </c>
      <c r="D517" s="0" t="s">
        <v>31</v>
      </c>
      <c r="E517" s="0" t="n">
        <v>1111</v>
      </c>
      <c r="F517" s="0" t="n">
        <v>1641</v>
      </c>
      <c r="G517" s="0" t="n">
        <v>15</v>
      </c>
      <c r="H517" s="0" t="n">
        <v>9</v>
      </c>
      <c r="I517" s="0" t="n">
        <v>9</v>
      </c>
      <c r="J517" s="0" t="n">
        <v>8</v>
      </c>
      <c r="K517" s="0" t="n">
        <v>0.7</v>
      </c>
      <c r="L517" s="1" t="n">
        <v>1641</v>
      </c>
      <c r="M517" s="0" t="n">
        <v>0</v>
      </c>
      <c r="N517" s="0" t="n">
        <v>1641</v>
      </c>
      <c r="O517" s="0" t="n">
        <v>191183</v>
      </c>
      <c r="P517" s="1" t="n">
        <v>66.5</v>
      </c>
      <c r="Q517" s="0" t="n">
        <v>0</v>
      </c>
      <c r="R517" s="0" t="n">
        <v>1</v>
      </c>
      <c r="S517" s="0" t="s">
        <v>42</v>
      </c>
      <c r="T517" s="0" t="str">
        <f aca="false">IF(L517="inf","False","True")</f>
        <v>True</v>
      </c>
      <c r="U517" s="0" t="str">
        <f aca="false">IF(V517="inf","False","True")</f>
        <v>True</v>
      </c>
      <c r="V517" s="4" t="n">
        <v>365832.72</v>
      </c>
      <c r="W517" s="4" t="n">
        <v>181547.13</v>
      </c>
      <c r="X517" s="0" t="n">
        <v>131.7</v>
      </c>
      <c r="Y517" s="5" t="n">
        <f aca="false">V517-L517</f>
        <v>364191.72</v>
      </c>
      <c r="Z517" s="6" t="n">
        <f aca="false">Y517/L517</f>
        <v>221.932797074954</v>
      </c>
      <c r="AA517" s="3" t="n">
        <f aca="false">X517-P517</f>
        <v>65.2</v>
      </c>
      <c r="AB517" s="6" t="n">
        <f aca="false">AA517/P517</f>
        <v>0.980451127819549</v>
      </c>
    </row>
    <row r="518" customFormat="false" ht="12.75" hidden="false" customHeight="false" outlineLevel="0" collapsed="false">
      <c r="A518" s="0" t="s">
        <v>603</v>
      </c>
      <c r="B518" s="0" t="n">
        <v>1</v>
      </c>
      <c r="C518" s="0" t="s">
        <v>31</v>
      </c>
      <c r="D518" s="0" t="s">
        <v>31</v>
      </c>
      <c r="E518" s="0" t="n">
        <v>1111</v>
      </c>
      <c r="F518" s="0" t="n">
        <v>1728</v>
      </c>
      <c r="G518" s="0" t="n">
        <v>15</v>
      </c>
      <c r="H518" s="0" t="n">
        <v>9</v>
      </c>
      <c r="I518" s="0" t="n">
        <v>9</v>
      </c>
      <c r="J518" s="0" t="n">
        <v>8</v>
      </c>
      <c r="K518" s="0" t="n">
        <v>0.7</v>
      </c>
      <c r="L518" s="1" t="n">
        <v>1728</v>
      </c>
      <c r="M518" s="0" t="n">
        <v>0</v>
      </c>
      <c r="N518" s="0" t="n">
        <v>1728</v>
      </c>
      <c r="O518" s="0" t="n">
        <v>189321</v>
      </c>
      <c r="P518" s="1" t="n">
        <v>31.25</v>
      </c>
      <c r="Q518" s="0" t="n">
        <v>0</v>
      </c>
      <c r="R518" s="0" t="n">
        <v>1</v>
      </c>
      <c r="S518" s="0" t="s">
        <v>42</v>
      </c>
      <c r="T518" s="0" t="str">
        <f aca="false">IF(L518="inf","False","True")</f>
        <v>True</v>
      </c>
      <c r="U518" s="0" t="str">
        <f aca="false">IF(V518="inf","False","True")</f>
        <v>True</v>
      </c>
      <c r="V518" s="4" t="n">
        <v>48419.13</v>
      </c>
      <c r="W518" s="4" t="n">
        <v>200749.55</v>
      </c>
      <c r="X518" s="0" t="n">
        <v>444.54</v>
      </c>
      <c r="Y518" s="5" t="n">
        <f aca="false">V518-L518</f>
        <v>46691.13</v>
      </c>
      <c r="Z518" s="6" t="n">
        <f aca="false">Y518/L518</f>
        <v>27.0203298611111</v>
      </c>
      <c r="AA518" s="3" t="n">
        <f aca="false">X518-P518</f>
        <v>413.29</v>
      </c>
      <c r="AB518" s="6" t="n">
        <f aca="false">AA518/P518</f>
        <v>13.22528</v>
      </c>
    </row>
    <row r="519" customFormat="false" ht="12.75" hidden="false" customHeight="false" outlineLevel="0" collapsed="false">
      <c r="A519" s="0" t="s">
        <v>604</v>
      </c>
      <c r="B519" s="0" t="n">
        <v>2</v>
      </c>
      <c r="C519" s="0" t="s">
        <v>31</v>
      </c>
      <c r="D519" s="0" t="s">
        <v>31</v>
      </c>
      <c r="E519" s="0" t="n">
        <v>1111</v>
      </c>
      <c r="F519" s="0" t="n">
        <v>1635</v>
      </c>
      <c r="G519" s="0" t="n">
        <v>15</v>
      </c>
      <c r="H519" s="0" t="n">
        <v>9</v>
      </c>
      <c r="I519" s="0" t="n">
        <v>9</v>
      </c>
      <c r="J519" s="0" t="n">
        <v>8</v>
      </c>
      <c r="K519" s="0" t="n">
        <v>0.7</v>
      </c>
      <c r="L519" s="1" t="n">
        <v>1635</v>
      </c>
      <c r="M519" s="0" t="n">
        <v>0</v>
      </c>
      <c r="N519" s="0" t="n">
        <v>1635</v>
      </c>
      <c r="O519" s="0" t="n">
        <v>186724</v>
      </c>
      <c r="P519" s="1" t="n">
        <v>26.29</v>
      </c>
      <c r="Q519" s="0" t="n">
        <v>0</v>
      </c>
      <c r="R519" s="0" t="n">
        <v>2</v>
      </c>
      <c r="S519" s="0" t="s">
        <v>42</v>
      </c>
      <c r="T519" s="0" t="str">
        <f aca="false">IF(L519="inf","False","True")</f>
        <v>True</v>
      </c>
      <c r="U519" s="0" t="str">
        <f aca="false">IF(V519="inf","False","True")</f>
        <v>True</v>
      </c>
      <c r="V519" s="4" t="n">
        <v>634748.19</v>
      </c>
      <c r="W519" s="4" t="n">
        <v>173566.49</v>
      </c>
      <c r="X519" s="0" t="n">
        <v>9.63</v>
      </c>
      <c r="Y519" s="5" t="n">
        <f aca="false">V519-L519</f>
        <v>633113.19</v>
      </c>
      <c r="Z519" s="6" t="n">
        <f aca="false">Y519/L519</f>
        <v>387.22519266055</v>
      </c>
      <c r="AA519" s="3" t="n">
        <f aca="false">X519-P519</f>
        <v>-16.66</v>
      </c>
      <c r="AB519" s="6" t="n">
        <f aca="false">AA519/P519</f>
        <v>-0.633701027006466</v>
      </c>
    </row>
    <row r="520" customFormat="false" ht="12.75" hidden="false" customHeight="false" outlineLevel="0" collapsed="false">
      <c r="A520" s="0" t="s">
        <v>605</v>
      </c>
      <c r="B520" s="0" t="n">
        <v>3</v>
      </c>
      <c r="C520" s="0" t="s">
        <v>31</v>
      </c>
      <c r="D520" s="0" t="s">
        <v>31</v>
      </c>
      <c r="E520" s="0" t="n">
        <v>1111</v>
      </c>
      <c r="F520" s="0" t="n">
        <v>1645</v>
      </c>
      <c r="G520" s="0" t="n">
        <v>15</v>
      </c>
      <c r="H520" s="0" t="n">
        <v>9</v>
      </c>
      <c r="I520" s="0" t="n">
        <v>9</v>
      </c>
      <c r="J520" s="0" t="n">
        <v>8</v>
      </c>
      <c r="K520" s="0" t="n">
        <v>0.7</v>
      </c>
      <c r="L520" s="1" t="n">
        <v>346901.77</v>
      </c>
      <c r="M520" s="0" t="n">
        <v>345419.68</v>
      </c>
      <c r="N520" s="0" t="n">
        <v>1482.09</v>
      </c>
      <c r="O520" s="0" t="n">
        <v>179683.4</v>
      </c>
      <c r="P520" s="1" t="n">
        <v>667.21</v>
      </c>
      <c r="Q520" s="0" t="n">
        <v>0.11</v>
      </c>
      <c r="R520" s="0" t="n">
        <v>6</v>
      </c>
      <c r="S520" s="0" t="s">
        <v>32</v>
      </c>
      <c r="T520" s="0" t="str">
        <f aca="false">IF(L520="inf","False","True")</f>
        <v>True</v>
      </c>
      <c r="U520" s="0" t="str">
        <f aca="false">IF(V520="inf","False","True")</f>
        <v>True</v>
      </c>
      <c r="V520" s="4" t="n">
        <v>325520.27</v>
      </c>
      <c r="W520" s="4" t="n">
        <v>173039.43</v>
      </c>
      <c r="X520" s="0" t="n">
        <v>15.08</v>
      </c>
      <c r="Y520" s="5" t="n">
        <f aca="false">V520-L520</f>
        <v>-21381.5</v>
      </c>
      <c r="Z520" s="6" t="n">
        <f aca="false">Y520/L520</f>
        <v>-0.0616356036465308</v>
      </c>
      <c r="AA520" s="3" t="n">
        <f aca="false">X520-P520</f>
        <v>-652.13</v>
      </c>
      <c r="AB520" s="6" t="n">
        <f aca="false">AA520/P520</f>
        <v>-0.977398420287466</v>
      </c>
    </row>
    <row r="521" customFormat="false" ht="12.75" hidden="false" customHeight="false" outlineLevel="0" collapsed="false">
      <c r="A521" s="0" t="s">
        <v>606</v>
      </c>
      <c r="B521" s="0" t="n">
        <v>4</v>
      </c>
      <c r="C521" s="0" t="s">
        <v>31</v>
      </c>
      <c r="D521" s="0" t="s">
        <v>31</v>
      </c>
      <c r="E521" s="0" t="n">
        <v>1111</v>
      </c>
      <c r="F521" s="0" t="n">
        <v>1688</v>
      </c>
      <c r="G521" s="0" t="n">
        <v>15</v>
      </c>
      <c r="H521" s="0" t="n">
        <v>9</v>
      </c>
      <c r="I521" s="0" t="n">
        <v>9</v>
      </c>
      <c r="J521" s="0" t="n">
        <v>8</v>
      </c>
      <c r="K521" s="0" t="n">
        <v>0.7</v>
      </c>
      <c r="L521" s="1" t="n">
        <v>289167.15</v>
      </c>
      <c r="M521" s="0" t="n">
        <v>287619</v>
      </c>
      <c r="N521" s="0" t="n">
        <v>1548.15</v>
      </c>
      <c r="O521" s="0" t="n">
        <v>165267.79</v>
      </c>
      <c r="P521" s="1" t="n">
        <v>622.09</v>
      </c>
      <c r="Q521" s="0" t="n">
        <v>0.17</v>
      </c>
      <c r="R521" s="0" t="n">
        <v>4</v>
      </c>
      <c r="S521" s="0" t="s">
        <v>32</v>
      </c>
      <c r="T521" s="0" t="str">
        <f aca="false">IF(L521="inf","False","True")</f>
        <v>True</v>
      </c>
      <c r="U521" s="0" t="str">
        <f aca="false">IF(V521="inf","False","True")</f>
        <v>True</v>
      </c>
      <c r="V521" s="4" t="n">
        <v>421557.75</v>
      </c>
      <c r="W521" s="4" t="n">
        <v>163022.6</v>
      </c>
      <c r="X521" s="0" t="n">
        <v>108.9</v>
      </c>
      <c r="Y521" s="5" t="n">
        <f aca="false">V521-L521</f>
        <v>132390.6</v>
      </c>
      <c r="Z521" s="6" t="n">
        <f aca="false">Y521/L521</f>
        <v>0.457834162697941</v>
      </c>
      <c r="AA521" s="3" t="n">
        <f aca="false">X521-P521</f>
        <v>-513.19</v>
      </c>
      <c r="AB521" s="6" t="n">
        <f aca="false">AA521/P521</f>
        <v>-0.82494494365767</v>
      </c>
    </row>
    <row r="522" customFormat="false" ht="12.75" hidden="false" customHeight="false" outlineLevel="0" collapsed="false">
      <c r="A522" s="0" t="s">
        <v>607</v>
      </c>
      <c r="B522" s="0" t="n">
        <v>0</v>
      </c>
      <c r="C522" s="0" t="s">
        <v>31</v>
      </c>
      <c r="D522" s="0" t="s">
        <v>31</v>
      </c>
      <c r="E522" s="0" t="n">
        <v>333</v>
      </c>
      <c r="F522" s="0" t="n">
        <v>505</v>
      </c>
      <c r="G522" s="0" t="n">
        <v>15</v>
      </c>
      <c r="H522" s="0" t="n">
        <v>9</v>
      </c>
      <c r="I522" s="0" t="n">
        <v>9</v>
      </c>
      <c r="J522" s="0" t="n">
        <v>12</v>
      </c>
      <c r="K522" s="0" t="n">
        <v>0.7</v>
      </c>
      <c r="L522" s="1" t="n">
        <v>505</v>
      </c>
      <c r="M522" s="0" t="n">
        <v>0</v>
      </c>
      <c r="N522" s="0" t="n">
        <v>505</v>
      </c>
      <c r="O522" s="0" t="n">
        <v>60785</v>
      </c>
      <c r="P522" s="1" t="n">
        <v>19.81</v>
      </c>
      <c r="Q522" s="0" t="n">
        <v>0</v>
      </c>
      <c r="R522" s="0" t="n">
        <v>1</v>
      </c>
      <c r="S522" s="0" t="s">
        <v>42</v>
      </c>
      <c r="T522" s="0" t="str">
        <f aca="false">IF(L522="inf","False","True")</f>
        <v>True</v>
      </c>
      <c r="U522" s="0" t="str">
        <f aca="false">IF(V522="inf","False","True")</f>
        <v>False</v>
      </c>
      <c r="V522" s="4" t="s">
        <v>37</v>
      </c>
      <c r="W522" s="4" t="s">
        <v>37</v>
      </c>
      <c r="X522" s="0" t="n">
        <v>378.44</v>
      </c>
      <c r="Y522" s="5" t="e">
        <f aca="false">V522-L522</f>
        <v>#VALUE!</v>
      </c>
      <c r="Z522" s="6" t="e">
        <f aca="false">Y522/L522</f>
        <v>#VALUE!</v>
      </c>
      <c r="AA522" s="3" t="n">
        <f aca="false">X522-P522</f>
        <v>358.63</v>
      </c>
      <c r="AB522" s="6" t="n">
        <f aca="false">AA522/P522</f>
        <v>18.1034830893488</v>
      </c>
    </row>
    <row r="523" customFormat="false" ht="12.75" hidden="false" customHeight="false" outlineLevel="0" collapsed="false">
      <c r="A523" s="0" t="s">
        <v>608</v>
      </c>
      <c r="B523" s="0" t="n">
        <v>1</v>
      </c>
      <c r="C523" s="0" t="s">
        <v>31</v>
      </c>
      <c r="D523" s="0" t="s">
        <v>31</v>
      </c>
      <c r="E523" s="0" t="n">
        <v>333</v>
      </c>
      <c r="F523" s="0" t="n">
        <v>525</v>
      </c>
      <c r="G523" s="0" t="n">
        <v>15</v>
      </c>
      <c r="H523" s="0" t="n">
        <v>9</v>
      </c>
      <c r="I523" s="0" t="n">
        <v>9</v>
      </c>
      <c r="J523" s="0" t="n">
        <v>12</v>
      </c>
      <c r="K523" s="0" t="n">
        <v>0.7</v>
      </c>
      <c r="L523" s="1" t="n">
        <v>724</v>
      </c>
      <c r="M523" s="0" t="n">
        <v>199</v>
      </c>
      <c r="N523" s="0" t="n">
        <v>525</v>
      </c>
      <c r="O523" s="0" t="n">
        <v>61107</v>
      </c>
      <c r="P523" s="1" t="n">
        <v>246.85</v>
      </c>
      <c r="Q523" s="0" t="n">
        <v>0</v>
      </c>
      <c r="R523" s="0" t="n">
        <v>5</v>
      </c>
      <c r="S523" s="0" t="s">
        <v>609</v>
      </c>
      <c r="T523" s="0" t="str">
        <f aca="false">IF(L523="inf","False","True")</f>
        <v>True</v>
      </c>
      <c r="U523" s="0" t="str">
        <f aca="false">IF(V523="inf","False","True")</f>
        <v>True</v>
      </c>
      <c r="V523" s="4" t="n">
        <v>72332.58</v>
      </c>
      <c r="W523" s="4" t="n">
        <v>57793.27</v>
      </c>
      <c r="X523" s="0" t="n">
        <v>405.31</v>
      </c>
      <c r="Y523" s="5" t="n">
        <f aca="false">V523-L523</f>
        <v>71608.58</v>
      </c>
      <c r="Z523" s="6" t="n">
        <f aca="false">Y523/L523</f>
        <v>98.9068784530387</v>
      </c>
      <c r="AA523" s="3" t="n">
        <f aca="false">X523-P523</f>
        <v>158.46</v>
      </c>
      <c r="AB523" s="6" t="n">
        <f aca="false">AA523/P523</f>
        <v>0.641928296536358</v>
      </c>
    </row>
    <row r="524" customFormat="false" ht="12.75" hidden="false" customHeight="false" outlineLevel="0" collapsed="false">
      <c r="A524" s="0" t="s">
        <v>610</v>
      </c>
      <c r="B524" s="0" t="n">
        <v>2</v>
      </c>
      <c r="C524" s="0" t="s">
        <v>31</v>
      </c>
      <c r="D524" s="0" t="s">
        <v>31</v>
      </c>
      <c r="E524" s="0" t="n">
        <v>333</v>
      </c>
      <c r="F524" s="0" t="n">
        <v>513</v>
      </c>
      <c r="G524" s="0" t="n">
        <v>15</v>
      </c>
      <c r="H524" s="0" t="n">
        <v>9</v>
      </c>
      <c r="I524" s="0" t="n">
        <v>9</v>
      </c>
      <c r="J524" s="0" t="n">
        <v>12</v>
      </c>
      <c r="K524" s="0" t="n">
        <v>0.7</v>
      </c>
      <c r="L524" s="1" t="n">
        <v>513</v>
      </c>
      <c r="M524" s="0" t="n">
        <v>0</v>
      </c>
      <c r="N524" s="0" t="n">
        <v>513</v>
      </c>
      <c r="O524" s="0" t="n">
        <v>59016</v>
      </c>
      <c r="P524" s="1" t="n">
        <v>32.54</v>
      </c>
      <c r="Q524" s="0" t="n">
        <v>0</v>
      </c>
      <c r="R524" s="0" t="n">
        <v>1</v>
      </c>
      <c r="S524" s="0" t="s">
        <v>42</v>
      </c>
      <c r="T524" s="0" t="str">
        <f aca="false">IF(L524="inf","False","True")</f>
        <v>True</v>
      </c>
      <c r="U524" s="0" t="str">
        <f aca="false">IF(V524="inf","False","True")</f>
        <v>True</v>
      </c>
      <c r="V524" s="4" t="n">
        <v>90379.24</v>
      </c>
      <c r="W524" s="4" t="n">
        <v>54805.82</v>
      </c>
      <c r="X524" s="0" t="n">
        <v>204.17</v>
      </c>
      <c r="Y524" s="5" t="n">
        <f aca="false">V524-L524</f>
        <v>89866.24</v>
      </c>
      <c r="Z524" s="6" t="n">
        <f aca="false">Y524/L524</f>
        <v>175.177855750487</v>
      </c>
      <c r="AA524" s="3" t="n">
        <f aca="false">X524-P524</f>
        <v>171.63</v>
      </c>
      <c r="AB524" s="6" t="n">
        <f aca="false">AA524/P524</f>
        <v>5.27443146896128</v>
      </c>
    </row>
    <row r="525" customFormat="false" ht="12.75" hidden="false" customHeight="false" outlineLevel="0" collapsed="false">
      <c r="A525" s="0" t="s">
        <v>611</v>
      </c>
      <c r="B525" s="0" t="n">
        <v>3</v>
      </c>
      <c r="C525" s="0" t="s">
        <v>31</v>
      </c>
      <c r="D525" s="0" t="s">
        <v>31</v>
      </c>
      <c r="E525" s="0" t="n">
        <v>333</v>
      </c>
      <c r="F525" s="0" t="n">
        <v>509</v>
      </c>
      <c r="G525" s="0" t="n">
        <v>15</v>
      </c>
      <c r="H525" s="0" t="n">
        <v>9</v>
      </c>
      <c r="I525" s="0" t="n">
        <v>9</v>
      </c>
      <c r="J525" s="0" t="n">
        <v>12</v>
      </c>
      <c r="K525" s="0" t="n">
        <v>0.7</v>
      </c>
      <c r="L525" s="1" t="n">
        <v>509</v>
      </c>
      <c r="M525" s="0" t="n">
        <v>0</v>
      </c>
      <c r="N525" s="0" t="n">
        <v>509</v>
      </c>
      <c r="O525" s="0" t="n">
        <v>59403</v>
      </c>
      <c r="P525" s="1" t="n">
        <v>25.9</v>
      </c>
      <c r="Q525" s="0" t="n">
        <v>0</v>
      </c>
      <c r="R525" s="0" t="n">
        <v>6</v>
      </c>
      <c r="S525" s="0" t="s">
        <v>42</v>
      </c>
      <c r="T525" s="0" t="str">
        <f aca="false">IF(L525="inf","False","True")</f>
        <v>True</v>
      </c>
      <c r="U525" s="0" t="str">
        <f aca="false">IF(V525="inf","False","True")</f>
        <v>True</v>
      </c>
      <c r="V525" s="4" t="n">
        <v>103332.43</v>
      </c>
      <c r="W525" s="4" t="n">
        <v>53287.43</v>
      </c>
      <c r="X525" s="0" t="n">
        <v>298.97</v>
      </c>
      <c r="Y525" s="5" t="n">
        <f aca="false">V525-L525</f>
        <v>102823.43</v>
      </c>
      <c r="Z525" s="6" t="n">
        <f aca="false">Y525/L525</f>
        <v>202.010667976424</v>
      </c>
      <c r="AA525" s="3" t="n">
        <f aca="false">X525-P525</f>
        <v>273.07</v>
      </c>
      <c r="AB525" s="6" t="n">
        <f aca="false">AA525/P525</f>
        <v>10.5432432432432</v>
      </c>
    </row>
    <row r="526" customFormat="false" ht="12.75" hidden="false" customHeight="false" outlineLevel="0" collapsed="false">
      <c r="A526" s="0" t="s">
        <v>612</v>
      </c>
      <c r="B526" s="0" t="n">
        <v>4</v>
      </c>
      <c r="C526" s="0" t="s">
        <v>31</v>
      </c>
      <c r="D526" s="0" t="s">
        <v>31</v>
      </c>
      <c r="E526" s="0" t="n">
        <v>333</v>
      </c>
      <c r="F526" s="0" t="n">
        <v>534</v>
      </c>
      <c r="G526" s="0" t="n">
        <v>15</v>
      </c>
      <c r="H526" s="0" t="n">
        <v>9</v>
      </c>
      <c r="I526" s="0" t="n">
        <v>9</v>
      </c>
      <c r="J526" s="0" t="n">
        <v>12</v>
      </c>
      <c r="K526" s="0" t="n">
        <v>0.7</v>
      </c>
      <c r="L526" s="1" t="n">
        <v>534</v>
      </c>
      <c r="M526" s="0" t="n">
        <v>0</v>
      </c>
      <c r="N526" s="0" t="n">
        <v>534</v>
      </c>
      <c r="O526" s="0" t="n">
        <v>57429</v>
      </c>
      <c r="P526" s="1" t="n">
        <v>27.97</v>
      </c>
      <c r="Q526" s="0" t="n">
        <v>0</v>
      </c>
      <c r="R526" s="0" t="n">
        <v>1</v>
      </c>
      <c r="S526" s="0" t="s">
        <v>42</v>
      </c>
      <c r="T526" s="0" t="str">
        <f aca="false">IF(L526="inf","False","True")</f>
        <v>True</v>
      </c>
      <c r="U526" s="0" t="str">
        <f aca="false">IF(V526="inf","False","True")</f>
        <v>True</v>
      </c>
      <c r="V526" s="4" t="n">
        <v>113958.12</v>
      </c>
      <c r="W526" s="4" t="n">
        <v>51384.05</v>
      </c>
      <c r="X526" s="0" t="n">
        <v>5.1</v>
      </c>
      <c r="Y526" s="5" t="n">
        <f aca="false">V526-L526</f>
        <v>113424.12</v>
      </c>
      <c r="Z526" s="6" t="n">
        <f aca="false">Y526/L526</f>
        <v>212.404719101124</v>
      </c>
      <c r="AA526" s="3" t="n">
        <f aca="false">X526-P526</f>
        <v>-22.87</v>
      </c>
      <c r="AB526" s="6" t="n">
        <f aca="false">AA526/P526</f>
        <v>-0.817661780479085</v>
      </c>
    </row>
    <row r="527" customFormat="false" ht="12.75" hidden="false" customHeight="false" outlineLevel="0" collapsed="false">
      <c r="A527" s="0" t="s">
        <v>613</v>
      </c>
      <c r="B527" s="0" t="n">
        <v>0</v>
      </c>
      <c r="C527" s="0" t="s">
        <v>31</v>
      </c>
      <c r="D527" s="0" t="s">
        <v>31</v>
      </c>
      <c r="E527" s="0" t="n">
        <v>555</v>
      </c>
      <c r="F527" s="0" t="n">
        <v>844</v>
      </c>
      <c r="G527" s="0" t="n">
        <v>15</v>
      </c>
      <c r="H527" s="0" t="n">
        <v>9</v>
      </c>
      <c r="I527" s="0" t="n">
        <v>9</v>
      </c>
      <c r="J527" s="0" t="n">
        <v>12</v>
      </c>
      <c r="K527" s="0" t="n">
        <v>0.7</v>
      </c>
      <c r="L527" s="1" t="n">
        <v>844</v>
      </c>
      <c r="M527" s="0" t="n">
        <v>0</v>
      </c>
      <c r="N527" s="0" t="n">
        <v>844</v>
      </c>
      <c r="O527" s="0" t="n">
        <v>101319</v>
      </c>
      <c r="P527" s="1" t="n">
        <v>25.96</v>
      </c>
      <c r="Q527" s="0" t="n">
        <v>0</v>
      </c>
      <c r="R527" s="0" t="n">
        <v>1</v>
      </c>
      <c r="S527" s="0" t="s">
        <v>42</v>
      </c>
      <c r="T527" s="0" t="str">
        <f aca="false">IF(L527="inf","False","True")</f>
        <v>True</v>
      </c>
      <c r="U527" s="0" t="str">
        <f aca="false">IF(V527="inf","False","True")</f>
        <v>True</v>
      </c>
      <c r="V527" s="4" t="n">
        <v>125142.51</v>
      </c>
      <c r="W527" s="4" t="n">
        <v>98225.44</v>
      </c>
      <c r="X527" s="0" t="n">
        <v>313.62</v>
      </c>
      <c r="Y527" s="5" t="n">
        <f aca="false">V527-L527</f>
        <v>124298.51</v>
      </c>
      <c r="Z527" s="6" t="n">
        <f aca="false">Y527/L527</f>
        <v>147.273116113744</v>
      </c>
      <c r="AA527" s="3" t="n">
        <f aca="false">X527-P527</f>
        <v>287.66</v>
      </c>
      <c r="AB527" s="6" t="n">
        <f aca="false">AA527/P527</f>
        <v>11.0808936825886</v>
      </c>
    </row>
    <row r="528" customFormat="false" ht="12.75" hidden="false" customHeight="false" outlineLevel="0" collapsed="false">
      <c r="A528" s="0" t="s">
        <v>614</v>
      </c>
      <c r="B528" s="0" t="n">
        <v>1</v>
      </c>
      <c r="C528" s="0" t="s">
        <v>31</v>
      </c>
      <c r="D528" s="0" t="s">
        <v>31</v>
      </c>
      <c r="E528" s="0" t="n">
        <v>555</v>
      </c>
      <c r="F528" s="0" t="n">
        <v>879</v>
      </c>
      <c r="G528" s="0" t="n">
        <v>15</v>
      </c>
      <c r="H528" s="0" t="n">
        <v>9</v>
      </c>
      <c r="I528" s="0" t="n">
        <v>9</v>
      </c>
      <c r="J528" s="0" t="n">
        <v>12</v>
      </c>
      <c r="K528" s="0" t="n">
        <v>0.7</v>
      </c>
      <c r="L528" s="1" t="n">
        <v>879</v>
      </c>
      <c r="M528" s="0" t="n">
        <v>0</v>
      </c>
      <c r="N528" s="0" t="n">
        <v>879</v>
      </c>
      <c r="O528" s="0" t="n">
        <v>101809</v>
      </c>
      <c r="P528" s="1" t="n">
        <v>45.8</v>
      </c>
      <c r="Q528" s="0" t="n">
        <v>0</v>
      </c>
      <c r="R528" s="0" t="n">
        <v>1</v>
      </c>
      <c r="S528" s="0" t="s">
        <v>42</v>
      </c>
      <c r="T528" s="0" t="str">
        <f aca="false">IF(L528="inf","False","True")</f>
        <v>True</v>
      </c>
      <c r="U528" s="0" t="str">
        <f aca="false">IF(V528="inf","False","True")</f>
        <v>True</v>
      </c>
      <c r="V528" s="4" t="n">
        <v>209252.4</v>
      </c>
      <c r="W528" s="4" t="n">
        <v>89412.87</v>
      </c>
      <c r="X528" s="0" t="n">
        <v>118.52</v>
      </c>
      <c r="Y528" s="5" t="n">
        <f aca="false">V528-L528</f>
        <v>208373.4</v>
      </c>
      <c r="Z528" s="6" t="n">
        <f aca="false">Y528/L528</f>
        <v>237.057337883959</v>
      </c>
      <c r="AA528" s="3" t="n">
        <f aca="false">X528-P528</f>
        <v>72.72</v>
      </c>
      <c r="AB528" s="6" t="n">
        <f aca="false">AA528/P528</f>
        <v>1.58777292576419</v>
      </c>
    </row>
    <row r="529" customFormat="false" ht="12.75" hidden="false" customHeight="false" outlineLevel="0" collapsed="false">
      <c r="A529" s="0" t="s">
        <v>615</v>
      </c>
      <c r="B529" s="0" t="n">
        <v>2</v>
      </c>
      <c r="C529" s="0" t="s">
        <v>31</v>
      </c>
      <c r="D529" s="0" t="s">
        <v>31</v>
      </c>
      <c r="E529" s="0" t="n">
        <v>555</v>
      </c>
      <c r="F529" s="0" t="n">
        <v>860</v>
      </c>
      <c r="G529" s="0" t="n">
        <v>15</v>
      </c>
      <c r="H529" s="0" t="n">
        <v>9</v>
      </c>
      <c r="I529" s="0" t="n">
        <v>9</v>
      </c>
      <c r="J529" s="0" t="n">
        <v>12</v>
      </c>
      <c r="K529" s="0" t="n">
        <v>0.7</v>
      </c>
      <c r="L529" s="1" t="n">
        <v>860</v>
      </c>
      <c r="M529" s="0" t="n">
        <v>0</v>
      </c>
      <c r="N529" s="0" t="n">
        <v>860</v>
      </c>
      <c r="O529" s="0" t="n">
        <v>98270</v>
      </c>
      <c r="P529" s="1" t="n">
        <v>26.69</v>
      </c>
      <c r="Q529" s="0" t="n">
        <v>0</v>
      </c>
      <c r="R529" s="0" t="n">
        <v>1</v>
      </c>
      <c r="S529" s="0" t="s">
        <v>42</v>
      </c>
      <c r="T529" s="0" t="str">
        <f aca="false">IF(L529="inf","False","True")</f>
        <v>True</v>
      </c>
      <c r="U529" s="0" t="str">
        <f aca="false">IF(V529="inf","False","True")</f>
        <v>True</v>
      </c>
      <c r="V529" s="4" t="n">
        <v>292814.66</v>
      </c>
      <c r="W529" s="4" t="n">
        <v>90332.99</v>
      </c>
      <c r="X529" s="0" t="n">
        <v>454.06</v>
      </c>
      <c r="Y529" s="5" t="n">
        <f aca="false">V529-L529</f>
        <v>291954.66</v>
      </c>
      <c r="Z529" s="6" t="n">
        <f aca="false">Y529/L529</f>
        <v>339.482162790698</v>
      </c>
      <c r="AA529" s="3" t="n">
        <f aca="false">X529-P529</f>
        <v>427.37</v>
      </c>
      <c r="AB529" s="6" t="n">
        <f aca="false">AA529/P529</f>
        <v>16.0123641813413</v>
      </c>
    </row>
    <row r="530" customFormat="false" ht="12.75" hidden="false" customHeight="false" outlineLevel="0" collapsed="false">
      <c r="A530" s="0" t="s">
        <v>616</v>
      </c>
      <c r="B530" s="0" t="n">
        <v>3</v>
      </c>
      <c r="C530" s="0" t="s">
        <v>31</v>
      </c>
      <c r="D530" s="0" t="s">
        <v>31</v>
      </c>
      <c r="E530" s="0" t="n">
        <v>555</v>
      </c>
      <c r="F530" s="0" t="n">
        <v>852</v>
      </c>
      <c r="G530" s="0" t="n">
        <v>15</v>
      </c>
      <c r="H530" s="0" t="n">
        <v>9</v>
      </c>
      <c r="I530" s="0" t="n">
        <v>9</v>
      </c>
      <c r="J530" s="0" t="n">
        <v>12</v>
      </c>
      <c r="K530" s="0" t="n">
        <v>0.7</v>
      </c>
      <c r="L530" s="1" t="n">
        <v>852</v>
      </c>
      <c r="M530" s="0" t="n">
        <v>0</v>
      </c>
      <c r="N530" s="0" t="n">
        <v>852</v>
      </c>
      <c r="O530" s="0" t="n">
        <v>98939</v>
      </c>
      <c r="P530" s="1" t="n">
        <v>19.85</v>
      </c>
      <c r="Q530" s="0" t="n">
        <v>0</v>
      </c>
      <c r="R530" s="0" t="n">
        <v>1</v>
      </c>
      <c r="S530" s="0" t="s">
        <v>42</v>
      </c>
      <c r="T530" s="0" t="str">
        <f aca="false">IF(L530="inf","False","True")</f>
        <v>True</v>
      </c>
      <c r="U530" s="0" t="str">
        <f aca="false">IF(V530="inf","False","True")</f>
        <v>True</v>
      </c>
      <c r="V530" s="4" t="n">
        <v>241304.45</v>
      </c>
      <c r="W530" s="4" t="n">
        <v>86380.09</v>
      </c>
      <c r="X530" s="0" t="n">
        <v>156.55</v>
      </c>
      <c r="Y530" s="5" t="n">
        <f aca="false">V530-L530</f>
        <v>240452.45</v>
      </c>
      <c r="Z530" s="6" t="n">
        <f aca="false">Y530/L530</f>
        <v>282.221185446009</v>
      </c>
      <c r="AA530" s="3" t="n">
        <f aca="false">X530-P530</f>
        <v>136.7</v>
      </c>
      <c r="AB530" s="6" t="n">
        <f aca="false">AA530/P530</f>
        <v>6.88664987405542</v>
      </c>
    </row>
    <row r="531" customFormat="false" ht="12.75" hidden="false" customHeight="false" outlineLevel="0" collapsed="false">
      <c r="A531" s="0" t="s">
        <v>617</v>
      </c>
      <c r="B531" s="0" t="n">
        <v>4</v>
      </c>
      <c r="C531" s="0" t="s">
        <v>31</v>
      </c>
      <c r="D531" s="0" t="s">
        <v>31</v>
      </c>
      <c r="E531" s="0" t="n">
        <v>555</v>
      </c>
      <c r="F531" s="0" t="n">
        <v>895</v>
      </c>
      <c r="G531" s="0" t="n">
        <v>15</v>
      </c>
      <c r="H531" s="0" t="n">
        <v>9</v>
      </c>
      <c r="I531" s="0" t="n">
        <v>9</v>
      </c>
      <c r="J531" s="0" t="n">
        <v>12</v>
      </c>
      <c r="K531" s="0" t="n">
        <v>0.7</v>
      </c>
      <c r="L531" s="1" t="n">
        <v>895</v>
      </c>
      <c r="M531" s="0" t="n">
        <v>0</v>
      </c>
      <c r="N531" s="0" t="n">
        <v>895</v>
      </c>
      <c r="O531" s="0" t="n">
        <v>95675</v>
      </c>
      <c r="P531" s="1" t="n">
        <v>31.78</v>
      </c>
      <c r="Q531" s="0" t="n">
        <v>0</v>
      </c>
      <c r="R531" s="0" t="n">
        <v>5</v>
      </c>
      <c r="S531" s="0" t="s">
        <v>42</v>
      </c>
      <c r="T531" s="0" t="str">
        <f aca="false">IF(L531="inf","False","True")</f>
        <v>True</v>
      </c>
      <c r="U531" s="0" t="str">
        <f aca="false">IF(V531="inf","False","True")</f>
        <v>True</v>
      </c>
      <c r="V531" s="4" t="n">
        <v>157219.49</v>
      </c>
      <c r="W531" s="4" t="n">
        <v>85819.08</v>
      </c>
      <c r="X531" s="0" t="n">
        <v>27.41</v>
      </c>
      <c r="Y531" s="5" t="n">
        <f aca="false">V531-L531</f>
        <v>156324.49</v>
      </c>
      <c r="Z531" s="6" t="n">
        <f aca="false">Y531/L531</f>
        <v>174.664234636872</v>
      </c>
      <c r="AA531" s="3" t="n">
        <f aca="false">X531-P531</f>
        <v>-4.37</v>
      </c>
      <c r="AB531" s="6" t="n">
        <f aca="false">AA531/P531</f>
        <v>-0.137507866582757</v>
      </c>
    </row>
    <row r="532" customFormat="false" ht="12.75" hidden="false" customHeight="false" outlineLevel="0" collapsed="false">
      <c r="A532" s="0" t="s">
        <v>618</v>
      </c>
      <c r="B532" s="0" t="n">
        <v>0</v>
      </c>
      <c r="C532" s="0" t="s">
        <v>31</v>
      </c>
      <c r="D532" s="0" t="s">
        <v>31</v>
      </c>
      <c r="E532" s="0" t="n">
        <v>777</v>
      </c>
      <c r="F532" s="0" t="n">
        <v>1187</v>
      </c>
      <c r="G532" s="0" t="n">
        <v>15</v>
      </c>
      <c r="H532" s="0" t="n">
        <v>9</v>
      </c>
      <c r="I532" s="0" t="n">
        <v>9</v>
      </c>
      <c r="J532" s="0" t="n">
        <v>12</v>
      </c>
      <c r="K532" s="0" t="n">
        <v>0.7</v>
      </c>
      <c r="L532" s="1" t="n">
        <v>1187</v>
      </c>
      <c r="M532" s="0" t="n">
        <v>0</v>
      </c>
      <c r="N532" s="0" t="n">
        <v>1187</v>
      </c>
      <c r="O532" s="0" t="n">
        <v>141806</v>
      </c>
      <c r="P532" s="1" t="n">
        <v>18.71</v>
      </c>
      <c r="Q532" s="0" t="n">
        <v>0</v>
      </c>
      <c r="R532" s="0" t="n">
        <v>1</v>
      </c>
      <c r="S532" s="0" t="s">
        <v>42</v>
      </c>
      <c r="T532" s="0" t="str">
        <f aca="false">IF(L532="inf","False","True")</f>
        <v>True</v>
      </c>
      <c r="U532" s="0" t="str">
        <f aca="false">IF(V532="inf","False","True")</f>
        <v>True</v>
      </c>
      <c r="V532" s="4" t="n">
        <v>490790.07</v>
      </c>
      <c r="W532" s="4" t="n">
        <v>124727.98</v>
      </c>
      <c r="X532" s="0" t="n">
        <v>119.82</v>
      </c>
      <c r="Y532" s="5" t="n">
        <f aca="false">V532-L532</f>
        <v>489603.07</v>
      </c>
      <c r="Z532" s="6" t="n">
        <f aca="false">Y532/L532</f>
        <v>412.47099410278</v>
      </c>
      <c r="AA532" s="3" t="n">
        <f aca="false">X532-P532</f>
        <v>101.11</v>
      </c>
      <c r="AB532" s="6" t="n">
        <f aca="false">AA532/P532</f>
        <v>5.40406199893105</v>
      </c>
    </row>
    <row r="533" customFormat="false" ht="12.75" hidden="false" customHeight="false" outlineLevel="0" collapsed="false">
      <c r="A533" s="0" t="s">
        <v>619</v>
      </c>
      <c r="B533" s="0" t="n">
        <v>1</v>
      </c>
      <c r="C533" s="0" t="s">
        <v>31</v>
      </c>
      <c r="D533" s="0" t="s">
        <v>31</v>
      </c>
      <c r="E533" s="0" t="n">
        <v>777</v>
      </c>
      <c r="F533" s="0" t="n">
        <v>1235</v>
      </c>
      <c r="G533" s="0" t="n">
        <v>15</v>
      </c>
      <c r="H533" s="0" t="n">
        <v>9</v>
      </c>
      <c r="I533" s="0" t="n">
        <v>9</v>
      </c>
      <c r="J533" s="0" t="n">
        <v>12</v>
      </c>
      <c r="K533" s="0" t="n">
        <v>0.7</v>
      </c>
      <c r="L533" s="1" t="n">
        <v>1235</v>
      </c>
      <c r="M533" s="0" t="n">
        <v>0</v>
      </c>
      <c r="N533" s="0" t="n">
        <v>1235</v>
      </c>
      <c r="O533" s="0" t="n">
        <v>142554</v>
      </c>
      <c r="P533" s="1" t="n">
        <v>19.92</v>
      </c>
      <c r="Q533" s="0" t="n">
        <v>0</v>
      </c>
      <c r="R533" s="0" t="n">
        <v>1</v>
      </c>
      <c r="S533" s="0" t="s">
        <v>42</v>
      </c>
      <c r="T533" s="0" t="str">
        <f aca="false">IF(L533="inf","False","True")</f>
        <v>True</v>
      </c>
      <c r="U533" s="0" t="str">
        <f aca="false">IF(V533="inf","False","True")</f>
        <v>True</v>
      </c>
      <c r="V533" s="4" t="n">
        <v>237368.04</v>
      </c>
      <c r="W533" s="4" t="n">
        <v>125096.34</v>
      </c>
      <c r="X533" s="0" t="n">
        <v>480.87</v>
      </c>
      <c r="Y533" s="5" t="n">
        <f aca="false">V533-L533</f>
        <v>236133.04</v>
      </c>
      <c r="Z533" s="6" t="n">
        <f aca="false">Y533/L533</f>
        <v>191.200842105263</v>
      </c>
      <c r="AA533" s="3" t="n">
        <f aca="false">X533-P533</f>
        <v>460.95</v>
      </c>
      <c r="AB533" s="6" t="n">
        <f aca="false">AA533/P533</f>
        <v>23.1400602409639</v>
      </c>
    </row>
    <row r="534" customFormat="false" ht="12.75" hidden="false" customHeight="false" outlineLevel="0" collapsed="false">
      <c r="A534" s="0" t="s">
        <v>620</v>
      </c>
      <c r="B534" s="0" t="n">
        <v>2</v>
      </c>
      <c r="C534" s="0" t="s">
        <v>31</v>
      </c>
      <c r="D534" s="0" t="s">
        <v>31</v>
      </c>
      <c r="E534" s="0" t="n">
        <v>777</v>
      </c>
      <c r="F534" s="0" t="n">
        <v>1207</v>
      </c>
      <c r="G534" s="0" t="n">
        <v>15</v>
      </c>
      <c r="H534" s="0" t="n">
        <v>9</v>
      </c>
      <c r="I534" s="0" t="n">
        <v>9</v>
      </c>
      <c r="J534" s="0" t="n">
        <v>12</v>
      </c>
      <c r="K534" s="0" t="n">
        <v>0.7</v>
      </c>
      <c r="L534" s="1" t="n">
        <v>1207</v>
      </c>
      <c r="M534" s="0" t="n">
        <v>0</v>
      </c>
      <c r="N534" s="0" t="n">
        <v>1207</v>
      </c>
      <c r="O534" s="0" t="n">
        <v>137612</v>
      </c>
      <c r="P534" s="1" t="n">
        <v>34.2</v>
      </c>
      <c r="Q534" s="0" t="n">
        <v>0</v>
      </c>
      <c r="R534" s="0" t="n">
        <v>1</v>
      </c>
      <c r="S534" s="0" t="s">
        <v>42</v>
      </c>
      <c r="T534" s="0" t="str">
        <f aca="false">IF(L534="inf","False","True")</f>
        <v>True</v>
      </c>
      <c r="U534" s="0" t="str">
        <f aca="false">IF(V534="inf","False","True")</f>
        <v>True</v>
      </c>
      <c r="V534" s="4" t="n">
        <v>382823.71</v>
      </c>
      <c r="W534" s="4" t="n">
        <v>123108.79</v>
      </c>
      <c r="X534" s="0" t="n">
        <v>18.25</v>
      </c>
      <c r="Y534" s="5" t="n">
        <f aca="false">V534-L534</f>
        <v>381616.71</v>
      </c>
      <c r="Z534" s="6" t="n">
        <f aca="false">Y534/L534</f>
        <v>316.169602319801</v>
      </c>
      <c r="AA534" s="3" t="n">
        <f aca="false">X534-P534</f>
        <v>-15.95</v>
      </c>
      <c r="AB534" s="6" t="n">
        <f aca="false">AA534/P534</f>
        <v>-0.466374269005848</v>
      </c>
    </row>
    <row r="535" customFormat="false" ht="12.75" hidden="false" customHeight="false" outlineLevel="0" collapsed="false">
      <c r="A535" s="0" t="s">
        <v>621</v>
      </c>
      <c r="B535" s="0" t="n">
        <v>3</v>
      </c>
      <c r="C535" s="0" t="s">
        <v>31</v>
      </c>
      <c r="D535" s="0" t="s">
        <v>31</v>
      </c>
      <c r="E535" s="0" t="n">
        <v>777</v>
      </c>
      <c r="F535" s="0" t="n">
        <v>1198</v>
      </c>
      <c r="G535" s="0" t="n">
        <v>15</v>
      </c>
      <c r="H535" s="0" t="n">
        <v>9</v>
      </c>
      <c r="I535" s="0" t="n">
        <v>9</v>
      </c>
      <c r="J535" s="0" t="n">
        <v>12</v>
      </c>
      <c r="K535" s="0" t="n">
        <v>0.7</v>
      </c>
      <c r="L535" s="1" t="n">
        <v>1198</v>
      </c>
      <c r="M535" s="0" t="n">
        <v>0</v>
      </c>
      <c r="N535" s="0" t="n">
        <v>1198</v>
      </c>
      <c r="O535" s="0" t="n">
        <v>138515</v>
      </c>
      <c r="P535" s="1" t="n">
        <v>29.73</v>
      </c>
      <c r="Q535" s="0" t="n">
        <v>0</v>
      </c>
      <c r="R535" s="0" t="n">
        <v>5</v>
      </c>
      <c r="S535" s="0" t="s">
        <v>42</v>
      </c>
      <c r="T535" s="0" t="str">
        <f aca="false">IF(L535="inf","False","True")</f>
        <v>True</v>
      </c>
      <c r="U535" s="0" t="str">
        <f aca="false">IF(V535="inf","False","True")</f>
        <v>True</v>
      </c>
      <c r="V535" s="4" t="n">
        <v>346063.9</v>
      </c>
      <c r="W535" s="4" t="n">
        <v>120572.08</v>
      </c>
      <c r="X535" s="0" t="n">
        <v>228.68</v>
      </c>
      <c r="Y535" s="5" t="n">
        <f aca="false">V535-L535</f>
        <v>344865.9</v>
      </c>
      <c r="Z535" s="6" t="n">
        <f aca="false">Y535/L535</f>
        <v>287.868030050084</v>
      </c>
      <c r="AA535" s="3" t="n">
        <f aca="false">X535-P535</f>
        <v>198.95</v>
      </c>
      <c r="AB535" s="6" t="n">
        <f aca="false">AA535/P535</f>
        <v>6.69189371005718</v>
      </c>
    </row>
    <row r="536" customFormat="false" ht="12.75" hidden="false" customHeight="false" outlineLevel="0" collapsed="false">
      <c r="A536" s="0" t="s">
        <v>622</v>
      </c>
      <c r="B536" s="0" t="n">
        <v>4</v>
      </c>
      <c r="C536" s="0" t="s">
        <v>31</v>
      </c>
      <c r="D536" s="0" t="s">
        <v>31</v>
      </c>
      <c r="E536" s="0" t="n">
        <v>777</v>
      </c>
      <c r="F536" s="0" t="n">
        <v>1256</v>
      </c>
      <c r="G536" s="0" t="n">
        <v>15</v>
      </c>
      <c r="H536" s="0" t="n">
        <v>9</v>
      </c>
      <c r="I536" s="0" t="n">
        <v>9</v>
      </c>
      <c r="J536" s="0" t="n">
        <v>12</v>
      </c>
      <c r="K536" s="0" t="n">
        <v>0.7</v>
      </c>
      <c r="L536" s="1" t="n">
        <v>1256</v>
      </c>
      <c r="M536" s="0" t="n">
        <v>0</v>
      </c>
      <c r="N536" s="0" t="n">
        <v>1256</v>
      </c>
      <c r="O536" s="0" t="n">
        <v>133955</v>
      </c>
      <c r="P536" s="1" t="n">
        <v>29.39</v>
      </c>
      <c r="Q536" s="0" t="n">
        <v>0</v>
      </c>
      <c r="R536" s="0" t="n">
        <v>1</v>
      </c>
      <c r="S536" s="0" t="s">
        <v>42</v>
      </c>
      <c r="T536" s="0" t="str">
        <f aca="false">IF(L536="inf","False","True")</f>
        <v>True</v>
      </c>
      <c r="U536" s="0" t="str">
        <f aca="false">IF(V536="inf","False","True")</f>
        <v>True</v>
      </c>
      <c r="V536" s="4" t="n">
        <v>244821.19</v>
      </c>
      <c r="W536" s="4" t="n">
        <v>120830.72</v>
      </c>
      <c r="X536" s="0" t="n">
        <v>259.78</v>
      </c>
      <c r="Y536" s="5" t="n">
        <f aca="false">V536-L536</f>
        <v>243565.19</v>
      </c>
      <c r="Z536" s="6" t="n">
        <f aca="false">Y536/L536</f>
        <v>193.921329617834</v>
      </c>
      <c r="AA536" s="3" t="n">
        <f aca="false">X536-P536</f>
        <v>230.39</v>
      </c>
      <c r="AB536" s="6" t="n">
        <f aca="false">AA536/P536</f>
        <v>7.83906090506975</v>
      </c>
    </row>
    <row r="537" customFormat="false" ht="12.75" hidden="false" customHeight="false" outlineLevel="0" collapsed="false">
      <c r="A537" s="0" t="s">
        <v>623</v>
      </c>
      <c r="B537" s="0" t="n">
        <v>0</v>
      </c>
      <c r="C537" s="0" t="s">
        <v>31</v>
      </c>
      <c r="D537" s="0" t="s">
        <v>31</v>
      </c>
      <c r="E537" s="0" t="n">
        <v>1111</v>
      </c>
      <c r="F537" s="0" t="n">
        <v>1700</v>
      </c>
      <c r="G537" s="0" t="n">
        <v>15</v>
      </c>
      <c r="H537" s="0" t="n">
        <v>9</v>
      </c>
      <c r="I537" s="0" t="n">
        <v>9</v>
      </c>
      <c r="J537" s="0" t="n">
        <v>12</v>
      </c>
      <c r="K537" s="0" t="n">
        <v>0.7</v>
      </c>
      <c r="L537" s="1" t="n">
        <v>1700</v>
      </c>
      <c r="M537" s="0" t="n">
        <v>0</v>
      </c>
      <c r="N537" s="0" t="n">
        <v>1700</v>
      </c>
      <c r="O537" s="0" t="n">
        <v>202616</v>
      </c>
      <c r="P537" s="1" t="n">
        <v>35.61</v>
      </c>
      <c r="Q537" s="0" t="n">
        <v>0</v>
      </c>
      <c r="R537" s="0" t="n">
        <v>2</v>
      </c>
      <c r="S537" s="0" t="s">
        <v>42</v>
      </c>
      <c r="T537" s="0" t="str">
        <f aca="false">IF(L537="inf","False","True")</f>
        <v>True</v>
      </c>
      <c r="U537" s="0" t="str">
        <f aca="false">IF(V537="inf","False","True")</f>
        <v>True</v>
      </c>
      <c r="V537" s="4" t="n">
        <v>264777.29</v>
      </c>
      <c r="W537" s="4" t="n">
        <v>207545.16</v>
      </c>
      <c r="X537" s="0" t="n">
        <v>408.75</v>
      </c>
      <c r="Y537" s="5" t="n">
        <f aca="false">V537-L537</f>
        <v>263077.29</v>
      </c>
      <c r="Z537" s="6" t="n">
        <f aca="false">Y537/L537</f>
        <v>154.751347058824</v>
      </c>
      <c r="AA537" s="3" t="n">
        <f aca="false">X537-P537</f>
        <v>373.14</v>
      </c>
      <c r="AB537" s="6" t="n">
        <f aca="false">AA537/P537</f>
        <v>10.4785172704297</v>
      </c>
    </row>
    <row r="538" customFormat="false" ht="12.75" hidden="false" customHeight="false" outlineLevel="0" collapsed="false">
      <c r="A538" s="0" t="s">
        <v>624</v>
      </c>
      <c r="B538" s="0" t="n">
        <v>1</v>
      </c>
      <c r="C538" s="0" t="s">
        <v>31</v>
      </c>
      <c r="D538" s="0" t="s">
        <v>31</v>
      </c>
      <c r="E538" s="0" t="n">
        <v>1111</v>
      </c>
      <c r="F538" s="0" t="n">
        <v>1769</v>
      </c>
      <c r="G538" s="0" t="n">
        <v>15</v>
      </c>
      <c r="H538" s="0" t="n">
        <v>9</v>
      </c>
      <c r="I538" s="0" t="n">
        <v>9</v>
      </c>
      <c r="J538" s="0" t="n">
        <v>12</v>
      </c>
      <c r="K538" s="0" t="n">
        <v>0.7</v>
      </c>
      <c r="L538" s="1" t="n">
        <v>1769</v>
      </c>
      <c r="M538" s="0" t="n">
        <v>0</v>
      </c>
      <c r="N538" s="0" t="n">
        <v>1769</v>
      </c>
      <c r="O538" s="0" t="n">
        <v>204644</v>
      </c>
      <c r="P538" s="1" t="n">
        <v>24.61</v>
      </c>
      <c r="Q538" s="0" t="n">
        <v>0</v>
      </c>
      <c r="R538" s="0" t="n">
        <v>6</v>
      </c>
      <c r="S538" s="0" t="s">
        <v>42</v>
      </c>
      <c r="T538" s="0" t="str">
        <f aca="false">IF(L538="inf","False","True")</f>
        <v>True</v>
      </c>
      <c r="U538" s="0" t="str">
        <f aca="false">IF(V538="inf","False","True")</f>
        <v>True</v>
      </c>
      <c r="V538" s="4" t="n">
        <v>297405.93</v>
      </c>
      <c r="W538" s="4" t="n">
        <v>196487.92</v>
      </c>
      <c r="X538" s="0" t="n">
        <v>29.86</v>
      </c>
      <c r="Y538" s="5" t="n">
        <f aca="false">V538-L538</f>
        <v>295636.93</v>
      </c>
      <c r="Z538" s="6" t="n">
        <f aca="false">Y538/L538</f>
        <v>167.120932730356</v>
      </c>
      <c r="AA538" s="3" t="n">
        <f aca="false">X538-P538</f>
        <v>5.25</v>
      </c>
      <c r="AB538" s="6" t="n">
        <f aca="false">AA538/P538</f>
        <v>0.213327915481512</v>
      </c>
    </row>
    <row r="539" customFormat="false" ht="12.75" hidden="false" customHeight="false" outlineLevel="0" collapsed="false">
      <c r="A539" s="0" t="s">
        <v>625</v>
      </c>
      <c r="B539" s="0" t="n">
        <v>2</v>
      </c>
      <c r="C539" s="0" t="s">
        <v>31</v>
      </c>
      <c r="D539" s="0" t="s">
        <v>31</v>
      </c>
      <c r="E539" s="0" t="n">
        <v>1111</v>
      </c>
      <c r="F539" s="0" t="n">
        <v>1729</v>
      </c>
      <c r="G539" s="0" t="n">
        <v>15</v>
      </c>
      <c r="H539" s="0" t="n">
        <v>9</v>
      </c>
      <c r="I539" s="0" t="n">
        <v>9</v>
      </c>
      <c r="J539" s="0" t="n">
        <v>12</v>
      </c>
      <c r="K539" s="0" t="n">
        <v>0.7</v>
      </c>
      <c r="L539" s="1" t="n">
        <v>1729</v>
      </c>
      <c r="M539" s="0" t="n">
        <v>0</v>
      </c>
      <c r="N539" s="0" t="n">
        <v>1729</v>
      </c>
      <c r="O539" s="0" t="n">
        <v>196564</v>
      </c>
      <c r="P539" s="1" t="n">
        <v>36.16</v>
      </c>
      <c r="Q539" s="0" t="n">
        <v>0</v>
      </c>
      <c r="R539" s="0" t="n">
        <v>7</v>
      </c>
      <c r="S539" s="0" t="s">
        <v>42</v>
      </c>
      <c r="T539" s="0" t="str">
        <f aca="false">IF(L539="inf","False","True")</f>
        <v>True</v>
      </c>
      <c r="U539" s="0" t="str">
        <f aca="false">IF(V539="inf","False","True")</f>
        <v>True</v>
      </c>
      <c r="V539" s="4" t="n">
        <v>635465.67</v>
      </c>
      <c r="W539" s="4" t="n">
        <v>177779.05</v>
      </c>
      <c r="X539" s="0" t="n">
        <v>361.92</v>
      </c>
      <c r="Y539" s="5" t="n">
        <f aca="false">V539-L539</f>
        <v>633736.67</v>
      </c>
      <c r="Z539" s="6" t="n">
        <f aca="false">Y539/L539</f>
        <v>366.533643724696</v>
      </c>
      <c r="AA539" s="3" t="n">
        <f aca="false">X539-P539</f>
        <v>325.76</v>
      </c>
      <c r="AB539" s="6" t="n">
        <f aca="false">AA539/P539</f>
        <v>9.00884955752212</v>
      </c>
    </row>
    <row r="540" customFormat="false" ht="12.75" hidden="false" customHeight="false" outlineLevel="0" collapsed="false">
      <c r="A540" s="0" t="s">
        <v>626</v>
      </c>
      <c r="B540" s="0" t="n">
        <v>3</v>
      </c>
      <c r="C540" s="0" t="s">
        <v>31</v>
      </c>
      <c r="D540" s="0" t="s">
        <v>31</v>
      </c>
      <c r="E540" s="0" t="n">
        <v>1111</v>
      </c>
      <c r="F540" s="0" t="n">
        <v>1716</v>
      </c>
      <c r="G540" s="0" t="n">
        <v>15</v>
      </c>
      <c r="H540" s="0" t="n">
        <v>9</v>
      </c>
      <c r="I540" s="0" t="n">
        <v>9</v>
      </c>
      <c r="J540" s="0" t="n">
        <v>12</v>
      </c>
      <c r="K540" s="0" t="n">
        <v>0.7</v>
      </c>
      <c r="L540" s="1" t="n">
        <v>1716</v>
      </c>
      <c r="M540" s="0" t="n">
        <v>0</v>
      </c>
      <c r="N540" s="0" t="n">
        <v>1716</v>
      </c>
      <c r="O540" s="0" t="n">
        <v>197852</v>
      </c>
      <c r="P540" s="1" t="n">
        <v>25.72</v>
      </c>
      <c r="Q540" s="0" t="n">
        <v>0</v>
      </c>
      <c r="R540" s="0" t="n">
        <v>5</v>
      </c>
      <c r="S540" s="0" t="s">
        <v>42</v>
      </c>
      <c r="T540" s="0" t="str">
        <f aca="false">IF(L540="inf","False","True")</f>
        <v>True</v>
      </c>
      <c r="U540" s="0" t="str">
        <f aca="false">IF(V540="inf","False","True")</f>
        <v>True</v>
      </c>
      <c r="V540" s="4" t="n">
        <v>542830.91</v>
      </c>
      <c r="W540" s="4" t="n">
        <v>171011.69</v>
      </c>
      <c r="X540" s="0" t="n">
        <v>128.05</v>
      </c>
      <c r="Y540" s="5" t="n">
        <f aca="false">V540-L540</f>
        <v>541114.91</v>
      </c>
      <c r="Z540" s="6" t="n">
        <f aca="false">Y540/L540</f>
        <v>315.335029137529</v>
      </c>
      <c r="AA540" s="3" t="n">
        <f aca="false">X540-P540</f>
        <v>102.33</v>
      </c>
      <c r="AB540" s="6" t="n">
        <f aca="false">AA540/P540</f>
        <v>3.97861586314153</v>
      </c>
    </row>
    <row r="541" customFormat="false" ht="12.75" hidden="false" customHeight="false" outlineLevel="0" collapsed="false">
      <c r="A541" s="0" t="s">
        <v>627</v>
      </c>
      <c r="B541" s="0" t="n">
        <v>4</v>
      </c>
      <c r="C541" s="0" t="s">
        <v>31</v>
      </c>
      <c r="D541" s="0" t="s">
        <v>31</v>
      </c>
      <c r="E541" s="0" t="n">
        <v>1111</v>
      </c>
      <c r="F541" s="0" t="n">
        <v>1802</v>
      </c>
      <c r="G541" s="0" t="n">
        <v>15</v>
      </c>
      <c r="H541" s="0" t="n">
        <v>9</v>
      </c>
      <c r="I541" s="0" t="n">
        <v>9</v>
      </c>
      <c r="J541" s="0" t="n">
        <v>12</v>
      </c>
      <c r="K541" s="0" t="n">
        <v>0.7</v>
      </c>
      <c r="L541" s="1" t="n">
        <v>1802</v>
      </c>
      <c r="M541" s="0" t="n">
        <v>0</v>
      </c>
      <c r="N541" s="0" t="n">
        <v>1802</v>
      </c>
      <c r="O541" s="0" t="n">
        <v>191335</v>
      </c>
      <c r="P541" s="1" t="n">
        <v>27.8</v>
      </c>
      <c r="Q541" s="0" t="n">
        <v>0</v>
      </c>
      <c r="R541" s="0" t="n">
        <v>1</v>
      </c>
      <c r="S541" s="0" t="s">
        <v>42</v>
      </c>
      <c r="T541" s="0" t="str">
        <f aca="false">IF(L541="inf","False","True")</f>
        <v>True</v>
      </c>
      <c r="U541" s="0" t="str">
        <f aca="false">IF(V541="inf","False","True")</f>
        <v>False</v>
      </c>
      <c r="V541" s="4" t="s">
        <v>37</v>
      </c>
      <c r="W541" s="4" t="s">
        <v>37</v>
      </c>
      <c r="X541" s="0" t="n">
        <v>117.78</v>
      </c>
      <c r="Y541" s="5" t="e">
        <f aca="false">V541-L541</f>
        <v>#VALUE!</v>
      </c>
      <c r="Z541" s="6" t="e">
        <f aca="false">Y541/L541</f>
        <v>#VALUE!</v>
      </c>
      <c r="AA541" s="3" t="n">
        <f aca="false">X541-P541</f>
        <v>89.98</v>
      </c>
      <c r="AB541" s="6" t="n">
        <f aca="false">AA541/P541</f>
        <v>3.23669064748201</v>
      </c>
    </row>
    <row r="542" customFormat="false" ht="12.75" hidden="false" customHeight="false" outlineLevel="0" collapsed="false">
      <c r="A542" s="0" t="s">
        <v>628</v>
      </c>
      <c r="B542" s="0" t="n">
        <v>0</v>
      </c>
      <c r="C542" s="0" t="s">
        <v>31</v>
      </c>
      <c r="D542" s="0" t="s">
        <v>31</v>
      </c>
      <c r="E542" s="0" t="n">
        <v>250</v>
      </c>
      <c r="F542" s="0" t="n">
        <v>1251</v>
      </c>
      <c r="G542" s="0" t="n">
        <v>5</v>
      </c>
      <c r="H542" s="0" t="n">
        <v>12</v>
      </c>
      <c r="I542" s="0" t="n">
        <v>12</v>
      </c>
      <c r="J542" s="0" t="n">
        <v>4</v>
      </c>
      <c r="K542" s="0" t="n">
        <v>0.7</v>
      </c>
      <c r="L542" s="1" t="n">
        <v>1251</v>
      </c>
      <c r="M542" s="0" t="n">
        <v>0</v>
      </c>
      <c r="N542" s="0" t="n">
        <v>1251</v>
      </c>
      <c r="O542" s="0" t="n">
        <v>16176</v>
      </c>
      <c r="P542" s="1" t="n">
        <v>7.17</v>
      </c>
      <c r="Q542" s="0" t="n">
        <v>0</v>
      </c>
      <c r="R542" s="0" t="n">
        <v>5</v>
      </c>
      <c r="S542" s="0" t="s">
        <v>42</v>
      </c>
      <c r="T542" s="0" t="str">
        <f aca="false">IF(L542="inf","False","True")</f>
        <v>True</v>
      </c>
      <c r="U542" s="0" t="str">
        <f aca="false">IF(V542="inf","False","True")</f>
        <v>False</v>
      </c>
      <c r="V542" s="4" t="s">
        <v>37</v>
      </c>
      <c r="W542" s="4" t="s">
        <v>37</v>
      </c>
      <c r="X542" s="0" t="n">
        <v>11.1</v>
      </c>
      <c r="Y542" s="5" t="e">
        <f aca="false">V542-L542</f>
        <v>#VALUE!</v>
      </c>
      <c r="Z542" s="6" t="e">
        <f aca="false">Y542/L542</f>
        <v>#VALUE!</v>
      </c>
      <c r="AA542" s="3" t="n">
        <f aca="false">X542-P542</f>
        <v>3.93</v>
      </c>
      <c r="AB542" s="6" t="n">
        <f aca="false">AA542/P542</f>
        <v>0.548117154811715</v>
      </c>
    </row>
    <row r="543" customFormat="false" ht="12.75" hidden="false" customHeight="false" outlineLevel="0" collapsed="false">
      <c r="A543" s="0" t="s">
        <v>629</v>
      </c>
      <c r="B543" s="0" t="n">
        <v>1</v>
      </c>
      <c r="C543" s="0" t="s">
        <v>31</v>
      </c>
      <c r="D543" s="0" t="s">
        <v>31</v>
      </c>
      <c r="E543" s="0" t="n">
        <v>250</v>
      </c>
      <c r="F543" s="0" t="n">
        <v>1323</v>
      </c>
      <c r="G543" s="0" t="n">
        <v>5</v>
      </c>
      <c r="H543" s="0" t="n">
        <v>12</v>
      </c>
      <c r="I543" s="0" t="n">
        <v>12</v>
      </c>
      <c r="J543" s="0" t="n">
        <v>4</v>
      </c>
      <c r="K543" s="0" t="n">
        <v>0.7</v>
      </c>
      <c r="L543" s="1" t="n">
        <v>55680.67</v>
      </c>
      <c r="M543" s="0" t="n">
        <v>54428.24</v>
      </c>
      <c r="N543" s="0" t="n">
        <v>1252.43</v>
      </c>
      <c r="O543" s="0" t="n">
        <v>16519.62</v>
      </c>
      <c r="P543" s="1" t="n">
        <v>31.34</v>
      </c>
      <c r="Q543" s="0" t="n">
        <v>0</v>
      </c>
      <c r="R543" s="0" t="n">
        <v>9</v>
      </c>
      <c r="S543" s="0" t="s">
        <v>32</v>
      </c>
      <c r="T543" s="0" t="str">
        <f aca="false">IF(L543="inf","False","True")</f>
        <v>True</v>
      </c>
      <c r="U543" s="0" t="str">
        <f aca="false">IF(V543="inf","False","True")</f>
        <v>False</v>
      </c>
      <c r="V543" s="4" t="s">
        <v>37</v>
      </c>
      <c r="W543" s="4" t="s">
        <v>37</v>
      </c>
      <c r="X543" s="0" t="n">
        <v>11.4</v>
      </c>
      <c r="Y543" s="5" t="e">
        <f aca="false">V543-L543</f>
        <v>#VALUE!</v>
      </c>
      <c r="Z543" s="6" t="e">
        <f aca="false">Y543/L543</f>
        <v>#VALUE!</v>
      </c>
      <c r="AA543" s="3" t="n">
        <f aca="false">X543-P543</f>
        <v>-19.94</v>
      </c>
      <c r="AB543" s="6" t="n">
        <f aca="false">AA543/P543</f>
        <v>-0.636247606892151</v>
      </c>
    </row>
    <row r="544" customFormat="false" ht="12.75" hidden="false" customHeight="false" outlineLevel="0" collapsed="false">
      <c r="A544" s="0" t="s">
        <v>630</v>
      </c>
      <c r="B544" s="0" t="n">
        <v>2</v>
      </c>
      <c r="C544" s="0" t="s">
        <v>31</v>
      </c>
      <c r="D544" s="0" t="s">
        <v>31</v>
      </c>
      <c r="E544" s="0" t="n">
        <v>250</v>
      </c>
      <c r="F544" s="0" t="n">
        <v>1233</v>
      </c>
      <c r="G544" s="0" t="n">
        <v>5</v>
      </c>
      <c r="H544" s="0" t="n">
        <v>12</v>
      </c>
      <c r="I544" s="0" t="n">
        <v>12</v>
      </c>
      <c r="J544" s="0" t="n">
        <v>4</v>
      </c>
      <c r="K544" s="0" t="n">
        <v>0.7</v>
      </c>
      <c r="L544" s="1" t="n">
        <v>53800.36</v>
      </c>
      <c r="M544" s="0" t="n">
        <v>52632.84</v>
      </c>
      <c r="N544" s="0" t="n">
        <v>1167.52</v>
      </c>
      <c r="O544" s="0" t="n">
        <v>14033.05</v>
      </c>
      <c r="P544" s="1" t="n">
        <v>44.85</v>
      </c>
      <c r="Q544" s="0" t="n">
        <v>0</v>
      </c>
      <c r="R544" s="0" t="n">
        <v>7</v>
      </c>
      <c r="S544" s="0" t="s">
        <v>32</v>
      </c>
      <c r="T544" s="0" t="str">
        <f aca="false">IF(L544="inf","False","True")</f>
        <v>True</v>
      </c>
      <c r="U544" s="0" t="str">
        <f aca="false">IF(V544="inf","False","True")</f>
        <v>False</v>
      </c>
      <c r="V544" s="4" t="s">
        <v>37</v>
      </c>
      <c r="W544" s="4" t="s">
        <v>37</v>
      </c>
      <c r="X544" s="0" t="n">
        <v>11.7</v>
      </c>
      <c r="Y544" s="5" t="e">
        <f aca="false">V544-L544</f>
        <v>#VALUE!</v>
      </c>
      <c r="Z544" s="6" t="e">
        <f aca="false">Y544/L544</f>
        <v>#VALUE!</v>
      </c>
      <c r="AA544" s="3" t="n">
        <f aca="false">X544-P544</f>
        <v>-33.15</v>
      </c>
      <c r="AB544" s="6" t="n">
        <f aca="false">AA544/P544</f>
        <v>-0.739130434782609</v>
      </c>
    </row>
    <row r="545" customFormat="false" ht="12.75" hidden="false" customHeight="false" outlineLevel="0" collapsed="false">
      <c r="A545" s="0" t="s">
        <v>631</v>
      </c>
      <c r="B545" s="0" t="n">
        <v>3</v>
      </c>
      <c r="C545" s="0" t="s">
        <v>31</v>
      </c>
      <c r="D545" s="0" t="s">
        <v>31</v>
      </c>
      <c r="E545" s="0" t="n">
        <v>250</v>
      </c>
      <c r="F545" s="0" t="n">
        <v>1222</v>
      </c>
      <c r="G545" s="0" t="n">
        <v>5</v>
      </c>
      <c r="H545" s="0" t="n">
        <v>12</v>
      </c>
      <c r="I545" s="0" t="n">
        <v>12</v>
      </c>
      <c r="J545" s="0" t="n">
        <v>4</v>
      </c>
      <c r="K545" s="0" t="n">
        <v>0.7</v>
      </c>
      <c r="L545" s="1" t="n">
        <v>45138.07</v>
      </c>
      <c r="M545" s="0" t="n">
        <v>43974.01</v>
      </c>
      <c r="N545" s="0" t="n">
        <v>1164.06</v>
      </c>
      <c r="O545" s="0" t="n">
        <v>12579.51</v>
      </c>
      <c r="P545" s="1" t="n">
        <v>84.18</v>
      </c>
      <c r="Q545" s="0" t="n">
        <v>0</v>
      </c>
      <c r="R545" s="0" t="n">
        <v>25</v>
      </c>
      <c r="S545" s="0" t="s">
        <v>32</v>
      </c>
      <c r="T545" s="0" t="str">
        <f aca="false">IF(L545="inf","False","True")</f>
        <v>True</v>
      </c>
      <c r="U545" s="0" t="str">
        <f aca="false">IF(V545="inf","False","True")</f>
        <v>False</v>
      </c>
      <c r="V545" s="4" t="s">
        <v>37</v>
      </c>
      <c r="W545" s="4" t="s">
        <v>37</v>
      </c>
      <c r="X545" s="0" t="n">
        <v>13.57</v>
      </c>
      <c r="Y545" s="5" t="e">
        <f aca="false">V545-L545</f>
        <v>#VALUE!</v>
      </c>
      <c r="Z545" s="6" t="e">
        <f aca="false">Y545/L545</f>
        <v>#VALUE!</v>
      </c>
      <c r="AA545" s="3" t="n">
        <f aca="false">X545-P545</f>
        <v>-70.61</v>
      </c>
      <c r="AB545" s="6" t="n">
        <f aca="false">AA545/P545</f>
        <v>-0.83879781420765</v>
      </c>
    </row>
    <row r="546" customFormat="false" ht="12.75" hidden="false" customHeight="false" outlineLevel="0" collapsed="false">
      <c r="A546" s="0" t="s">
        <v>632</v>
      </c>
      <c r="B546" s="0" t="n">
        <v>4</v>
      </c>
      <c r="C546" s="0" t="s">
        <v>31</v>
      </c>
      <c r="D546" s="0" t="s">
        <v>31</v>
      </c>
      <c r="E546" s="0" t="n">
        <v>250</v>
      </c>
      <c r="F546" s="0" t="n">
        <v>1309</v>
      </c>
      <c r="G546" s="0" t="n">
        <v>5</v>
      </c>
      <c r="H546" s="0" t="n">
        <v>12</v>
      </c>
      <c r="I546" s="0" t="n">
        <v>12</v>
      </c>
      <c r="J546" s="0" t="n">
        <v>4</v>
      </c>
      <c r="K546" s="0" t="n">
        <v>0.7</v>
      </c>
      <c r="L546" s="1" t="n">
        <v>28355.25</v>
      </c>
      <c r="M546" s="0" t="n">
        <v>27084.64</v>
      </c>
      <c r="N546" s="0" t="n">
        <v>1270.61</v>
      </c>
      <c r="O546" s="0" t="n">
        <v>14464.05</v>
      </c>
      <c r="P546" s="1" t="n">
        <v>30.44</v>
      </c>
      <c r="Q546" s="0" t="n">
        <v>0</v>
      </c>
      <c r="R546" s="0" t="n">
        <v>2</v>
      </c>
      <c r="S546" s="0" t="s">
        <v>633</v>
      </c>
      <c r="T546" s="0" t="str">
        <f aca="false">IF(L546="inf","False","True")</f>
        <v>True</v>
      </c>
      <c r="U546" s="0" t="str">
        <f aca="false">IF(V546="inf","False","True")</f>
        <v>False</v>
      </c>
      <c r="V546" s="4" t="s">
        <v>37</v>
      </c>
      <c r="W546" s="4" t="s">
        <v>37</v>
      </c>
      <c r="X546" s="0" t="n">
        <v>12.53</v>
      </c>
      <c r="Y546" s="5" t="e">
        <f aca="false">V546-L546</f>
        <v>#VALUE!</v>
      </c>
      <c r="Z546" s="6" t="e">
        <f aca="false">Y546/L546</f>
        <v>#VALUE!</v>
      </c>
      <c r="AA546" s="3" t="n">
        <f aca="false">X546-P546</f>
        <v>-17.91</v>
      </c>
      <c r="AB546" s="6" t="n">
        <f aca="false">AA546/P546</f>
        <v>-0.588370565045992</v>
      </c>
    </row>
    <row r="547" customFormat="false" ht="12.75" hidden="false" customHeight="false" outlineLevel="0" collapsed="false">
      <c r="A547" s="0" t="s">
        <v>634</v>
      </c>
      <c r="B547" s="0" t="n">
        <v>0</v>
      </c>
      <c r="C547" s="0" t="s">
        <v>31</v>
      </c>
      <c r="D547" s="0" t="s">
        <v>31</v>
      </c>
      <c r="E547" s="0" t="n">
        <v>416</v>
      </c>
      <c r="F547" s="0" t="n">
        <v>2086</v>
      </c>
      <c r="G547" s="0" t="n">
        <v>5</v>
      </c>
      <c r="H547" s="0" t="n">
        <v>12</v>
      </c>
      <c r="I547" s="0" t="n">
        <v>12</v>
      </c>
      <c r="J547" s="0" t="n">
        <v>4</v>
      </c>
      <c r="K547" s="0" t="n">
        <v>0.7</v>
      </c>
      <c r="L547" s="1" t="n">
        <v>2086</v>
      </c>
      <c r="M547" s="0" t="n">
        <v>0</v>
      </c>
      <c r="N547" s="0" t="n">
        <v>2086</v>
      </c>
      <c r="O547" s="0" t="n">
        <v>26900</v>
      </c>
      <c r="P547" s="1" t="n">
        <v>5.7</v>
      </c>
      <c r="Q547" s="0" t="n">
        <v>0</v>
      </c>
      <c r="R547" s="0" t="n">
        <v>1</v>
      </c>
      <c r="S547" s="0" t="s">
        <v>42</v>
      </c>
      <c r="T547" s="0" t="str">
        <f aca="false">IF(L547="inf","False","True")</f>
        <v>True</v>
      </c>
      <c r="U547" s="0" t="str">
        <f aca="false">IF(V547="inf","False","True")</f>
        <v>False</v>
      </c>
      <c r="V547" s="4" t="s">
        <v>37</v>
      </c>
      <c r="W547" s="4" t="s">
        <v>37</v>
      </c>
      <c r="X547" s="0" t="n">
        <v>12.21</v>
      </c>
      <c r="Y547" s="5" t="e">
        <f aca="false">V547-L547</f>
        <v>#VALUE!</v>
      </c>
      <c r="Z547" s="6" t="e">
        <f aca="false">Y547/L547</f>
        <v>#VALUE!</v>
      </c>
      <c r="AA547" s="3" t="n">
        <f aca="false">X547-P547</f>
        <v>6.51</v>
      </c>
      <c r="AB547" s="6" t="n">
        <f aca="false">AA547/P547</f>
        <v>1.14210526315789</v>
      </c>
    </row>
    <row r="548" customFormat="false" ht="12.75" hidden="false" customHeight="false" outlineLevel="0" collapsed="false">
      <c r="A548" s="0" t="s">
        <v>635</v>
      </c>
      <c r="B548" s="0" t="n">
        <v>1</v>
      </c>
      <c r="C548" s="0" t="s">
        <v>31</v>
      </c>
      <c r="D548" s="0" t="s">
        <v>31</v>
      </c>
      <c r="E548" s="0" t="n">
        <v>416</v>
      </c>
      <c r="F548" s="0" t="n">
        <v>2204</v>
      </c>
      <c r="G548" s="0" t="n">
        <v>5</v>
      </c>
      <c r="H548" s="0" t="n">
        <v>12</v>
      </c>
      <c r="I548" s="0" t="n">
        <v>12</v>
      </c>
      <c r="J548" s="0" t="n">
        <v>4</v>
      </c>
      <c r="K548" s="0" t="n">
        <v>0.7</v>
      </c>
      <c r="L548" s="1" t="n">
        <v>97980.91</v>
      </c>
      <c r="M548" s="0" t="n">
        <v>95880.68</v>
      </c>
      <c r="N548" s="0" t="n">
        <v>2100.23</v>
      </c>
      <c r="O548" s="0" t="n">
        <v>25840.79</v>
      </c>
      <c r="P548" s="1" t="n">
        <v>65.77</v>
      </c>
      <c r="Q548" s="0" t="n">
        <v>0</v>
      </c>
      <c r="R548" s="0" t="n">
        <v>22</v>
      </c>
      <c r="S548" s="0" t="s">
        <v>32</v>
      </c>
      <c r="T548" s="0" t="str">
        <f aca="false">IF(L548="inf","False","True")</f>
        <v>True</v>
      </c>
      <c r="U548" s="0" t="str">
        <f aca="false">IF(V548="inf","False","True")</f>
        <v>False</v>
      </c>
      <c r="V548" s="4" t="s">
        <v>37</v>
      </c>
      <c r="W548" s="4" t="s">
        <v>37</v>
      </c>
      <c r="X548" s="0" t="n">
        <v>11.08</v>
      </c>
      <c r="Y548" s="5" t="e">
        <f aca="false">V548-L548</f>
        <v>#VALUE!</v>
      </c>
      <c r="Z548" s="6" t="e">
        <f aca="false">Y548/L548</f>
        <v>#VALUE!</v>
      </c>
      <c r="AA548" s="3" t="n">
        <f aca="false">X548-P548</f>
        <v>-54.69</v>
      </c>
      <c r="AB548" s="6" t="n">
        <f aca="false">AA548/P548</f>
        <v>-0.831534134103695</v>
      </c>
    </row>
    <row r="549" customFormat="false" ht="12.75" hidden="false" customHeight="false" outlineLevel="0" collapsed="false">
      <c r="A549" s="0" t="s">
        <v>636</v>
      </c>
      <c r="B549" s="0" t="n">
        <v>2</v>
      </c>
      <c r="C549" s="0" t="s">
        <v>31</v>
      </c>
      <c r="D549" s="0" t="s">
        <v>31</v>
      </c>
      <c r="E549" s="0" t="n">
        <v>416</v>
      </c>
      <c r="F549" s="0" t="n">
        <v>2057</v>
      </c>
      <c r="G549" s="0" t="n">
        <v>5</v>
      </c>
      <c r="H549" s="0" t="n">
        <v>12</v>
      </c>
      <c r="I549" s="0" t="n">
        <v>12</v>
      </c>
      <c r="J549" s="0" t="n">
        <v>4</v>
      </c>
      <c r="K549" s="0" t="n">
        <v>0.7</v>
      </c>
      <c r="L549" s="1" t="n">
        <v>94984.2</v>
      </c>
      <c r="M549" s="0" t="n">
        <v>93035.06</v>
      </c>
      <c r="N549" s="0" t="n">
        <v>1949.14</v>
      </c>
      <c r="O549" s="0" t="n">
        <v>22626.01</v>
      </c>
      <c r="P549" s="1" t="n">
        <v>125.02</v>
      </c>
      <c r="Q549" s="0" t="n">
        <v>0</v>
      </c>
      <c r="R549" s="0" t="n">
        <v>7</v>
      </c>
      <c r="S549" s="0" t="s">
        <v>32</v>
      </c>
      <c r="T549" s="0" t="str">
        <f aca="false">IF(L549="inf","False","True")</f>
        <v>True</v>
      </c>
      <c r="U549" s="0" t="str">
        <f aca="false">IF(V549="inf","False","True")</f>
        <v>False</v>
      </c>
      <c r="V549" s="4" t="s">
        <v>37</v>
      </c>
      <c r="W549" s="4" t="s">
        <v>37</v>
      </c>
      <c r="X549" s="0" t="n">
        <v>10.97</v>
      </c>
      <c r="Y549" s="5" t="e">
        <f aca="false">V549-L549</f>
        <v>#VALUE!</v>
      </c>
      <c r="Z549" s="6" t="e">
        <f aca="false">Y549/L549</f>
        <v>#VALUE!</v>
      </c>
      <c r="AA549" s="3" t="n">
        <f aca="false">X549-P549</f>
        <v>-114.05</v>
      </c>
      <c r="AB549" s="6" t="n">
        <f aca="false">AA549/P549</f>
        <v>-0.912254039353703</v>
      </c>
    </row>
    <row r="550" customFormat="false" ht="12.75" hidden="false" customHeight="false" outlineLevel="0" collapsed="false">
      <c r="A550" s="0" t="s">
        <v>637</v>
      </c>
      <c r="B550" s="0" t="n">
        <v>3</v>
      </c>
      <c r="C550" s="0" t="s">
        <v>31</v>
      </c>
      <c r="D550" s="0" t="s">
        <v>31</v>
      </c>
      <c r="E550" s="0" t="n">
        <v>416</v>
      </c>
      <c r="F550" s="0" t="n">
        <v>2034</v>
      </c>
      <c r="G550" s="0" t="n">
        <v>5</v>
      </c>
      <c r="H550" s="0" t="n">
        <v>12</v>
      </c>
      <c r="I550" s="0" t="n">
        <v>12</v>
      </c>
      <c r="J550" s="0" t="n">
        <v>4</v>
      </c>
      <c r="K550" s="0" t="n">
        <v>0.7</v>
      </c>
      <c r="L550" s="1" t="n">
        <v>71870.49</v>
      </c>
      <c r="M550" s="0" t="n">
        <v>69950.77</v>
      </c>
      <c r="N550" s="0" t="n">
        <v>1919.72</v>
      </c>
      <c r="O550" s="0" t="n">
        <v>20377.96</v>
      </c>
      <c r="P550" s="1" t="n">
        <v>95.55</v>
      </c>
      <c r="Q550" s="0" t="n">
        <v>0</v>
      </c>
      <c r="R550" s="0" t="n">
        <v>23</v>
      </c>
      <c r="S550" s="0" t="s">
        <v>32</v>
      </c>
      <c r="T550" s="0" t="str">
        <f aca="false">IF(L550="inf","False","True")</f>
        <v>True</v>
      </c>
      <c r="U550" s="0" t="str">
        <f aca="false">IF(V550="inf","False","True")</f>
        <v>False</v>
      </c>
      <c r="V550" s="4" t="s">
        <v>37</v>
      </c>
      <c r="W550" s="4" t="s">
        <v>37</v>
      </c>
      <c r="X550" s="0" t="n">
        <v>13.04</v>
      </c>
      <c r="Y550" s="5" t="e">
        <f aca="false">V550-L550</f>
        <v>#VALUE!</v>
      </c>
      <c r="Z550" s="6" t="e">
        <f aca="false">Y550/L550</f>
        <v>#VALUE!</v>
      </c>
      <c r="AA550" s="3" t="n">
        <f aca="false">X550-P550</f>
        <v>-82.51</v>
      </c>
      <c r="AB550" s="6" t="n">
        <f aca="false">AA550/P550</f>
        <v>-0.863526949241235</v>
      </c>
    </row>
    <row r="551" customFormat="false" ht="12.75" hidden="false" customHeight="false" outlineLevel="0" collapsed="false">
      <c r="A551" s="0" t="s">
        <v>638</v>
      </c>
      <c r="B551" s="0" t="n">
        <v>4</v>
      </c>
      <c r="C551" s="0" t="s">
        <v>31</v>
      </c>
      <c r="D551" s="0" t="s">
        <v>31</v>
      </c>
      <c r="E551" s="0" t="n">
        <v>416</v>
      </c>
      <c r="F551" s="0" t="n">
        <v>2181</v>
      </c>
      <c r="G551" s="0" t="n">
        <v>5</v>
      </c>
      <c r="H551" s="0" t="n">
        <v>12</v>
      </c>
      <c r="I551" s="0" t="n">
        <v>12</v>
      </c>
      <c r="J551" s="0" t="n">
        <v>4</v>
      </c>
      <c r="K551" s="0" t="n">
        <v>0.7</v>
      </c>
      <c r="L551" s="1" t="n">
        <v>44270.34</v>
      </c>
      <c r="M551" s="0" t="n">
        <v>42157.12</v>
      </c>
      <c r="N551" s="0" t="n">
        <v>2113.22</v>
      </c>
      <c r="O551" s="0" t="n">
        <v>24507.89</v>
      </c>
      <c r="P551" s="1" t="n">
        <v>26.62</v>
      </c>
      <c r="Q551" s="0" t="n">
        <v>0</v>
      </c>
      <c r="R551" s="0" t="n">
        <v>8</v>
      </c>
      <c r="S551" s="0" t="s">
        <v>639</v>
      </c>
      <c r="T551" s="0" t="str">
        <f aca="false">IF(L551="inf","False","True")</f>
        <v>True</v>
      </c>
      <c r="U551" s="0" t="str">
        <f aca="false">IF(V551="inf","False","True")</f>
        <v>False</v>
      </c>
      <c r="V551" s="4" t="s">
        <v>37</v>
      </c>
      <c r="W551" s="4" t="s">
        <v>37</v>
      </c>
      <c r="X551" s="0" t="n">
        <v>12</v>
      </c>
      <c r="Y551" s="5" t="e">
        <f aca="false">V551-L551</f>
        <v>#VALUE!</v>
      </c>
      <c r="Z551" s="6" t="e">
        <f aca="false">Y551/L551</f>
        <v>#VALUE!</v>
      </c>
      <c r="AA551" s="3" t="n">
        <f aca="false">X551-P551</f>
        <v>-14.62</v>
      </c>
      <c r="AB551" s="6" t="n">
        <f aca="false">AA551/P551</f>
        <v>-0.549211119459053</v>
      </c>
    </row>
    <row r="552" customFormat="false" ht="12.75" hidden="false" customHeight="false" outlineLevel="0" collapsed="false">
      <c r="A552" s="0" t="s">
        <v>640</v>
      </c>
      <c r="B552" s="0" t="n">
        <v>0</v>
      </c>
      <c r="C552" s="0" t="s">
        <v>31</v>
      </c>
      <c r="D552" s="0" t="s">
        <v>31</v>
      </c>
      <c r="E552" s="0" t="n">
        <v>583</v>
      </c>
      <c r="F552" s="0" t="n">
        <v>2925</v>
      </c>
      <c r="G552" s="0" t="n">
        <v>5</v>
      </c>
      <c r="H552" s="0" t="n">
        <v>12</v>
      </c>
      <c r="I552" s="0" t="n">
        <v>12</v>
      </c>
      <c r="J552" s="0" t="n">
        <v>4</v>
      </c>
      <c r="K552" s="0" t="n">
        <v>0.7</v>
      </c>
      <c r="L552" s="1" t="n">
        <v>2925</v>
      </c>
      <c r="M552" s="0" t="n">
        <v>0</v>
      </c>
      <c r="N552" s="0" t="n">
        <v>2925</v>
      </c>
      <c r="O552" s="0" t="n">
        <v>37661</v>
      </c>
      <c r="P552" s="1" t="n">
        <v>7.03</v>
      </c>
      <c r="Q552" s="0" t="n">
        <v>0</v>
      </c>
      <c r="R552" s="0" t="n">
        <v>6</v>
      </c>
      <c r="S552" s="0" t="s">
        <v>42</v>
      </c>
      <c r="T552" s="0" t="str">
        <f aca="false">IF(L552="inf","False","True")</f>
        <v>True</v>
      </c>
      <c r="U552" s="0" t="str">
        <f aca="false">IF(V552="inf","False","True")</f>
        <v>False</v>
      </c>
      <c r="V552" s="4" t="s">
        <v>37</v>
      </c>
      <c r="W552" s="4" t="s">
        <v>37</v>
      </c>
      <c r="X552" s="0" t="n">
        <v>11.44</v>
      </c>
      <c r="Y552" s="5" t="e">
        <f aca="false">V552-L552</f>
        <v>#VALUE!</v>
      </c>
      <c r="Z552" s="6" t="e">
        <f aca="false">Y552/L552</f>
        <v>#VALUE!</v>
      </c>
      <c r="AA552" s="3" t="n">
        <f aca="false">X552-P552</f>
        <v>4.41</v>
      </c>
      <c r="AB552" s="6" t="n">
        <f aca="false">AA552/P552</f>
        <v>0.627311522048364</v>
      </c>
    </row>
    <row r="553" customFormat="false" ht="12.75" hidden="false" customHeight="false" outlineLevel="0" collapsed="false">
      <c r="A553" s="0" t="s">
        <v>641</v>
      </c>
      <c r="B553" s="0" t="n">
        <v>1</v>
      </c>
      <c r="C553" s="0" t="s">
        <v>31</v>
      </c>
      <c r="D553" s="0" t="s">
        <v>31</v>
      </c>
      <c r="E553" s="0" t="n">
        <v>583</v>
      </c>
      <c r="F553" s="0" t="n">
        <v>3093</v>
      </c>
      <c r="G553" s="0" t="n">
        <v>5</v>
      </c>
      <c r="H553" s="0" t="n">
        <v>12</v>
      </c>
      <c r="I553" s="0" t="n">
        <v>12</v>
      </c>
      <c r="J553" s="0" t="n">
        <v>4</v>
      </c>
      <c r="K553" s="0" t="n">
        <v>0.7</v>
      </c>
      <c r="L553" s="1" t="n">
        <v>148608.92</v>
      </c>
      <c r="M553" s="0" t="n">
        <v>145664.05</v>
      </c>
      <c r="N553" s="0" t="n">
        <v>2944.88</v>
      </c>
      <c r="O553" s="0" t="n">
        <v>34818.57</v>
      </c>
      <c r="P553" s="1" t="n">
        <v>50.12</v>
      </c>
      <c r="Q553" s="0" t="n">
        <v>0</v>
      </c>
      <c r="R553" s="0" t="n">
        <v>5</v>
      </c>
      <c r="S553" s="0" t="s">
        <v>32</v>
      </c>
      <c r="T553" s="0" t="str">
        <f aca="false">IF(L553="inf","False","True")</f>
        <v>True</v>
      </c>
      <c r="U553" s="0" t="str">
        <f aca="false">IF(V553="inf","False","True")</f>
        <v>False</v>
      </c>
      <c r="V553" s="4" t="s">
        <v>37</v>
      </c>
      <c r="W553" s="4" t="s">
        <v>37</v>
      </c>
      <c r="X553" s="0" t="n">
        <v>12.57</v>
      </c>
      <c r="Y553" s="5" t="e">
        <f aca="false">V553-L553</f>
        <v>#VALUE!</v>
      </c>
      <c r="Z553" s="6" t="e">
        <f aca="false">Y553/L553</f>
        <v>#VALUE!</v>
      </c>
      <c r="AA553" s="3" t="n">
        <f aca="false">X553-P553</f>
        <v>-37.55</v>
      </c>
      <c r="AB553" s="6" t="n">
        <f aca="false">AA553/P553</f>
        <v>-0.749201915403033</v>
      </c>
    </row>
    <row r="554" customFormat="false" ht="12.75" hidden="false" customHeight="false" outlineLevel="0" collapsed="false">
      <c r="A554" s="0" t="s">
        <v>642</v>
      </c>
      <c r="B554" s="0" t="n">
        <v>2</v>
      </c>
      <c r="C554" s="0" t="s">
        <v>31</v>
      </c>
      <c r="D554" s="0" t="s">
        <v>31</v>
      </c>
      <c r="E554" s="0" t="n">
        <v>583</v>
      </c>
      <c r="F554" s="0" t="n">
        <v>2884</v>
      </c>
      <c r="G554" s="0" t="n">
        <v>5</v>
      </c>
      <c r="H554" s="0" t="n">
        <v>12</v>
      </c>
      <c r="I554" s="0" t="n">
        <v>12</v>
      </c>
      <c r="J554" s="0" t="n">
        <v>4</v>
      </c>
      <c r="K554" s="0" t="n">
        <v>0.7</v>
      </c>
      <c r="L554" s="1" t="n">
        <v>131231.44</v>
      </c>
      <c r="M554" s="0" t="n">
        <v>128569.48</v>
      </c>
      <c r="N554" s="0" t="n">
        <v>2661.95</v>
      </c>
      <c r="O554" s="0" t="n">
        <v>32065.65</v>
      </c>
      <c r="P554" s="1" t="n">
        <v>36.3</v>
      </c>
      <c r="Q554" s="0" t="n">
        <v>0</v>
      </c>
      <c r="R554" s="0" t="n">
        <v>4</v>
      </c>
      <c r="S554" s="0" t="s">
        <v>32</v>
      </c>
      <c r="T554" s="0" t="str">
        <f aca="false">IF(L554="inf","False","True")</f>
        <v>True</v>
      </c>
      <c r="U554" s="0" t="str">
        <f aca="false">IF(V554="inf","False","True")</f>
        <v>True</v>
      </c>
      <c r="V554" s="4" t="n">
        <v>93368.7</v>
      </c>
      <c r="W554" s="4" t="n">
        <v>33272.87</v>
      </c>
      <c r="X554" s="0" t="n">
        <v>9.78</v>
      </c>
      <c r="Y554" s="5" t="n">
        <f aca="false">V554-L554</f>
        <v>-37862.74</v>
      </c>
      <c r="Z554" s="6" t="n">
        <f aca="false">Y554/L554</f>
        <v>-0.288518818356333</v>
      </c>
      <c r="AA554" s="3" t="n">
        <f aca="false">X554-P554</f>
        <v>-26.52</v>
      </c>
      <c r="AB554" s="6" t="n">
        <f aca="false">AA554/P554</f>
        <v>-0.730578512396694</v>
      </c>
    </row>
    <row r="555" customFormat="false" ht="12.75" hidden="false" customHeight="false" outlineLevel="0" collapsed="false">
      <c r="A555" s="0" t="s">
        <v>643</v>
      </c>
      <c r="B555" s="0" t="n">
        <v>3</v>
      </c>
      <c r="C555" s="0" t="s">
        <v>31</v>
      </c>
      <c r="D555" s="0" t="s">
        <v>31</v>
      </c>
      <c r="E555" s="0" t="n">
        <v>583</v>
      </c>
      <c r="F555" s="0" t="n">
        <v>2858</v>
      </c>
      <c r="G555" s="0" t="n">
        <v>5</v>
      </c>
      <c r="H555" s="0" t="n">
        <v>12</v>
      </c>
      <c r="I555" s="0" t="n">
        <v>12</v>
      </c>
      <c r="J555" s="0" t="n">
        <v>4</v>
      </c>
      <c r="K555" s="0" t="n">
        <v>0.7</v>
      </c>
      <c r="L555" s="1" t="n">
        <v>113774.25</v>
      </c>
      <c r="M555" s="0" t="n">
        <v>110993.87</v>
      </c>
      <c r="N555" s="0" t="n">
        <v>2780.38</v>
      </c>
      <c r="O555" s="0" t="n">
        <v>28121.76</v>
      </c>
      <c r="P555" s="1" t="n">
        <v>77.43</v>
      </c>
      <c r="Q555" s="0" t="n">
        <v>0</v>
      </c>
      <c r="R555" s="0" t="n">
        <v>5</v>
      </c>
      <c r="S555" s="0" t="s">
        <v>32</v>
      </c>
      <c r="T555" s="0" t="str">
        <f aca="false">IF(L555="inf","False","True")</f>
        <v>True</v>
      </c>
      <c r="U555" s="0" t="str">
        <f aca="false">IF(V555="inf","False","True")</f>
        <v>False</v>
      </c>
      <c r="V555" s="4" t="s">
        <v>37</v>
      </c>
      <c r="W555" s="4" t="s">
        <v>37</v>
      </c>
      <c r="X555" s="0" t="n">
        <v>15.72</v>
      </c>
      <c r="Y555" s="5" t="e">
        <f aca="false">V555-L555</f>
        <v>#VALUE!</v>
      </c>
      <c r="Z555" s="6" t="e">
        <f aca="false">Y555/L555</f>
        <v>#VALUE!</v>
      </c>
      <c r="AA555" s="3" t="n">
        <f aca="false">X555-P555</f>
        <v>-61.71</v>
      </c>
      <c r="AB555" s="6" t="n">
        <f aca="false">AA555/P555</f>
        <v>-0.796977915536614</v>
      </c>
    </row>
    <row r="556" customFormat="false" ht="12.75" hidden="false" customHeight="false" outlineLevel="0" collapsed="false">
      <c r="A556" s="0" t="s">
        <v>644</v>
      </c>
      <c r="B556" s="0" t="n">
        <v>4</v>
      </c>
      <c r="C556" s="0" t="s">
        <v>31</v>
      </c>
      <c r="D556" s="0" t="s">
        <v>31</v>
      </c>
      <c r="E556" s="0" t="n">
        <v>583</v>
      </c>
      <c r="F556" s="0" t="n">
        <v>3061</v>
      </c>
      <c r="G556" s="0" t="n">
        <v>5</v>
      </c>
      <c r="H556" s="0" t="n">
        <v>12</v>
      </c>
      <c r="I556" s="0" t="n">
        <v>12</v>
      </c>
      <c r="J556" s="0" t="n">
        <v>4</v>
      </c>
      <c r="K556" s="0" t="n">
        <v>0.7</v>
      </c>
      <c r="L556" s="1" t="n">
        <v>66404.84</v>
      </c>
      <c r="M556" s="0" t="n">
        <v>63465.66</v>
      </c>
      <c r="N556" s="0" t="n">
        <v>2939.18</v>
      </c>
      <c r="O556" s="0" t="n">
        <v>34501.58</v>
      </c>
      <c r="P556" s="1" t="n">
        <v>25.17</v>
      </c>
      <c r="Q556" s="0" t="n">
        <v>0</v>
      </c>
      <c r="R556" s="0" t="n">
        <v>9</v>
      </c>
      <c r="S556" s="0" t="s">
        <v>645</v>
      </c>
      <c r="T556" s="0" t="str">
        <f aca="false">IF(L556="inf","False","True")</f>
        <v>True</v>
      </c>
      <c r="U556" s="0" t="str">
        <f aca="false">IF(V556="inf","False","True")</f>
        <v>False</v>
      </c>
      <c r="V556" s="4" t="s">
        <v>37</v>
      </c>
      <c r="W556" s="4" t="s">
        <v>37</v>
      </c>
      <c r="X556" s="0" t="n">
        <v>11.47</v>
      </c>
      <c r="Y556" s="5" t="e">
        <f aca="false">V556-L556</f>
        <v>#VALUE!</v>
      </c>
      <c r="Z556" s="6" t="e">
        <f aca="false">Y556/L556</f>
        <v>#VALUE!</v>
      </c>
      <c r="AA556" s="3" t="n">
        <f aca="false">X556-P556</f>
        <v>-13.7</v>
      </c>
      <c r="AB556" s="6" t="n">
        <f aca="false">AA556/P556</f>
        <v>-0.54429876837505</v>
      </c>
    </row>
    <row r="557" customFormat="false" ht="12.75" hidden="false" customHeight="false" outlineLevel="0" collapsed="false">
      <c r="A557" s="0" t="s">
        <v>646</v>
      </c>
      <c r="B557" s="0" t="n">
        <v>0</v>
      </c>
      <c r="C557" s="0" t="s">
        <v>31</v>
      </c>
      <c r="D557" s="0" t="s">
        <v>31</v>
      </c>
      <c r="E557" s="0" t="n">
        <v>833</v>
      </c>
      <c r="F557" s="0" t="n">
        <v>4184</v>
      </c>
      <c r="G557" s="0" t="n">
        <v>5</v>
      </c>
      <c r="H557" s="0" t="n">
        <v>12</v>
      </c>
      <c r="I557" s="0" t="n">
        <v>12</v>
      </c>
      <c r="J557" s="0" t="n">
        <v>4</v>
      </c>
      <c r="K557" s="0" t="n">
        <v>0.7</v>
      </c>
      <c r="L557" s="1" t="n">
        <v>4165.33</v>
      </c>
      <c r="M557" s="0" t="n">
        <v>0</v>
      </c>
      <c r="N557" s="0" t="n">
        <v>4165.33</v>
      </c>
      <c r="O557" s="0" t="n">
        <v>53766</v>
      </c>
      <c r="P557" s="1" t="n">
        <v>6.53</v>
      </c>
      <c r="Q557" s="0" t="n">
        <v>0</v>
      </c>
      <c r="R557" s="0" t="n">
        <v>1</v>
      </c>
      <c r="S557" s="0" t="s">
        <v>42</v>
      </c>
      <c r="T557" s="0" t="str">
        <f aca="false">IF(L557="inf","False","True")</f>
        <v>True</v>
      </c>
      <c r="U557" s="0" t="str">
        <f aca="false">IF(V557="inf","False","True")</f>
        <v>False</v>
      </c>
      <c r="V557" s="4" t="s">
        <v>37</v>
      </c>
      <c r="W557" s="4" t="s">
        <v>37</v>
      </c>
      <c r="X557" s="0" t="n">
        <v>11.49</v>
      </c>
      <c r="Y557" s="5" t="e">
        <f aca="false">V557-L557</f>
        <v>#VALUE!</v>
      </c>
      <c r="Z557" s="6" t="e">
        <f aca="false">Y557/L557</f>
        <v>#VALUE!</v>
      </c>
      <c r="AA557" s="3" t="n">
        <f aca="false">X557-P557</f>
        <v>4.96</v>
      </c>
      <c r="AB557" s="6" t="n">
        <f aca="false">AA557/P557</f>
        <v>0.759571209800919</v>
      </c>
    </row>
    <row r="558" customFormat="false" ht="12.75" hidden="false" customHeight="false" outlineLevel="0" collapsed="false">
      <c r="A558" s="0" t="s">
        <v>647</v>
      </c>
      <c r="B558" s="0" t="n">
        <v>1</v>
      </c>
      <c r="C558" s="0" t="s">
        <v>31</v>
      </c>
      <c r="D558" s="0" t="s">
        <v>31</v>
      </c>
      <c r="E558" s="0" t="n">
        <v>833</v>
      </c>
      <c r="F558" s="0" t="n">
        <v>4425</v>
      </c>
      <c r="G558" s="0" t="n">
        <v>5</v>
      </c>
      <c r="H558" s="0" t="n">
        <v>12</v>
      </c>
      <c r="I558" s="0" t="n">
        <v>12</v>
      </c>
      <c r="J558" s="0" t="n">
        <v>4</v>
      </c>
      <c r="K558" s="0" t="n">
        <v>0.7</v>
      </c>
      <c r="L558" s="1" t="n">
        <v>195271.15</v>
      </c>
      <c r="M558" s="0" t="n">
        <v>191124.72</v>
      </c>
      <c r="N558" s="0" t="n">
        <v>4146.43</v>
      </c>
      <c r="O558" s="0" t="n">
        <v>52403.73</v>
      </c>
      <c r="P558" s="1" t="n">
        <v>48.11</v>
      </c>
      <c r="Q558" s="0" t="n">
        <v>0</v>
      </c>
      <c r="R558" s="0" t="n">
        <v>15</v>
      </c>
      <c r="S558" s="0" t="s">
        <v>32</v>
      </c>
      <c r="T558" s="0" t="str">
        <f aca="false">IF(L558="inf","False","True")</f>
        <v>True</v>
      </c>
      <c r="U558" s="0" t="str">
        <f aca="false">IF(V558="inf","False","True")</f>
        <v>False</v>
      </c>
      <c r="V558" s="4" t="s">
        <v>37</v>
      </c>
      <c r="W558" s="4" t="s">
        <v>37</v>
      </c>
      <c r="X558" s="0" t="n">
        <v>11.53</v>
      </c>
      <c r="Y558" s="5" t="e">
        <f aca="false">V558-L558</f>
        <v>#VALUE!</v>
      </c>
      <c r="Z558" s="6" t="e">
        <f aca="false">Y558/L558</f>
        <v>#VALUE!</v>
      </c>
      <c r="AA558" s="3" t="n">
        <f aca="false">X558-P558</f>
        <v>-36.58</v>
      </c>
      <c r="AB558" s="6" t="n">
        <f aca="false">AA558/P558</f>
        <v>-0.760340885470796</v>
      </c>
    </row>
    <row r="559" customFormat="false" ht="12.75" hidden="false" customHeight="false" outlineLevel="0" collapsed="false">
      <c r="A559" s="0" t="s">
        <v>648</v>
      </c>
      <c r="B559" s="0" t="n">
        <v>2</v>
      </c>
      <c r="C559" s="0" t="s">
        <v>31</v>
      </c>
      <c r="D559" s="0" t="s">
        <v>31</v>
      </c>
      <c r="E559" s="0" t="n">
        <v>833</v>
      </c>
      <c r="F559" s="0" t="n">
        <v>4127</v>
      </c>
      <c r="G559" s="0" t="n">
        <v>5</v>
      </c>
      <c r="H559" s="0" t="n">
        <v>12</v>
      </c>
      <c r="I559" s="0" t="n">
        <v>12</v>
      </c>
      <c r="J559" s="0" t="n">
        <v>4</v>
      </c>
      <c r="K559" s="0" t="n">
        <v>0.7</v>
      </c>
      <c r="L559" s="1" t="n">
        <v>120689.15</v>
      </c>
      <c r="M559" s="0" t="n">
        <v>116730.61</v>
      </c>
      <c r="N559" s="0" t="n">
        <v>3958.54</v>
      </c>
      <c r="O559" s="0" t="n">
        <v>48592.19</v>
      </c>
      <c r="P559" s="1" t="n">
        <v>155.44</v>
      </c>
      <c r="Q559" s="0" t="n">
        <v>0</v>
      </c>
      <c r="R559" s="0" t="n">
        <v>21</v>
      </c>
      <c r="S559" s="0" t="s">
        <v>32</v>
      </c>
      <c r="T559" s="0" t="str">
        <f aca="false">IF(L559="inf","False","True")</f>
        <v>True</v>
      </c>
      <c r="U559" s="0" t="str">
        <f aca="false">IF(V559="inf","False","True")</f>
        <v>False</v>
      </c>
      <c r="V559" s="4" t="s">
        <v>37</v>
      </c>
      <c r="W559" s="4" t="s">
        <v>37</v>
      </c>
      <c r="X559" s="0" t="n">
        <v>11.33</v>
      </c>
      <c r="Y559" s="5" t="e">
        <f aca="false">V559-L559</f>
        <v>#VALUE!</v>
      </c>
      <c r="Z559" s="6" t="e">
        <f aca="false">Y559/L559</f>
        <v>#VALUE!</v>
      </c>
      <c r="AA559" s="3" t="n">
        <f aca="false">X559-P559</f>
        <v>-144.11</v>
      </c>
      <c r="AB559" s="6" t="n">
        <f aca="false">AA559/P559</f>
        <v>-0.927110138960371</v>
      </c>
    </row>
    <row r="560" customFormat="false" ht="12.75" hidden="false" customHeight="false" outlineLevel="0" collapsed="false">
      <c r="A560" s="0" t="s">
        <v>649</v>
      </c>
      <c r="B560" s="0" t="n">
        <v>3</v>
      </c>
      <c r="C560" s="0" t="s">
        <v>31</v>
      </c>
      <c r="D560" s="0" t="s">
        <v>31</v>
      </c>
      <c r="E560" s="0" t="n">
        <v>833</v>
      </c>
      <c r="F560" s="0" t="n">
        <v>4088</v>
      </c>
      <c r="G560" s="0" t="n">
        <v>5</v>
      </c>
      <c r="H560" s="0" t="n">
        <v>12</v>
      </c>
      <c r="I560" s="0" t="n">
        <v>12</v>
      </c>
      <c r="J560" s="0" t="n">
        <v>4</v>
      </c>
      <c r="K560" s="0" t="n">
        <v>0.7</v>
      </c>
      <c r="L560" s="1" t="n">
        <v>148190.95</v>
      </c>
      <c r="M560" s="0" t="n">
        <v>144336.04</v>
      </c>
      <c r="N560" s="0" t="n">
        <v>3854.91</v>
      </c>
      <c r="O560" s="0" t="n">
        <v>41988.86</v>
      </c>
      <c r="P560" s="1" t="n">
        <v>65.47</v>
      </c>
      <c r="Q560" s="0" t="n">
        <v>0</v>
      </c>
      <c r="R560" s="0" t="n">
        <v>3</v>
      </c>
      <c r="S560" s="0" t="s">
        <v>32</v>
      </c>
      <c r="T560" s="0" t="str">
        <f aca="false">IF(L560="inf","False","True")</f>
        <v>True</v>
      </c>
      <c r="U560" s="0" t="str">
        <f aca="false">IF(V560="inf","False","True")</f>
        <v>True</v>
      </c>
      <c r="V560" s="4" t="n">
        <v>161296.47</v>
      </c>
      <c r="W560" s="4" t="n">
        <v>42032.67</v>
      </c>
      <c r="X560" s="0" t="n">
        <v>7.24</v>
      </c>
      <c r="Y560" s="5" t="n">
        <f aca="false">V560-L560</f>
        <v>13105.52</v>
      </c>
      <c r="Z560" s="6" t="n">
        <f aca="false">Y560/L560</f>
        <v>0.0884367095291581</v>
      </c>
      <c r="AA560" s="3" t="n">
        <f aca="false">X560-P560</f>
        <v>-58.23</v>
      </c>
      <c r="AB560" s="6" t="n">
        <f aca="false">AA560/P560</f>
        <v>-0.889414999236291</v>
      </c>
    </row>
    <row r="561" customFormat="false" ht="12.75" hidden="false" customHeight="false" outlineLevel="0" collapsed="false">
      <c r="A561" s="0" t="s">
        <v>650</v>
      </c>
      <c r="B561" s="0" t="n">
        <v>4</v>
      </c>
      <c r="C561" s="0" t="s">
        <v>31</v>
      </c>
      <c r="D561" s="0" t="s">
        <v>31</v>
      </c>
      <c r="E561" s="0" t="n">
        <v>833</v>
      </c>
      <c r="F561" s="0" t="n">
        <v>4377</v>
      </c>
      <c r="G561" s="0" t="n">
        <v>5</v>
      </c>
      <c r="H561" s="0" t="n">
        <v>12</v>
      </c>
      <c r="I561" s="0" t="n">
        <v>12</v>
      </c>
      <c r="J561" s="0" t="n">
        <v>4</v>
      </c>
      <c r="K561" s="0" t="n">
        <v>0.7</v>
      </c>
      <c r="L561" s="1" t="n">
        <v>110436.52</v>
      </c>
      <c r="M561" s="0" t="n">
        <v>106344.75</v>
      </c>
      <c r="N561" s="0" t="n">
        <v>4091.77</v>
      </c>
      <c r="O561" s="0" t="n">
        <v>50303.76</v>
      </c>
      <c r="P561" s="1" t="n">
        <v>66.16</v>
      </c>
      <c r="Q561" s="0" t="n">
        <v>0</v>
      </c>
      <c r="R561" s="0" t="n">
        <v>12</v>
      </c>
      <c r="S561" s="0" t="s">
        <v>32</v>
      </c>
      <c r="T561" s="0" t="str">
        <f aca="false">IF(L561="inf","False","True")</f>
        <v>True</v>
      </c>
      <c r="U561" s="0" t="str">
        <f aca="false">IF(V561="inf","False","True")</f>
        <v>True</v>
      </c>
      <c r="V561" s="4" t="n">
        <v>91123.29</v>
      </c>
      <c r="W561" s="4" t="n">
        <v>52721.31</v>
      </c>
      <c r="X561" s="0" t="n">
        <v>10.65</v>
      </c>
      <c r="Y561" s="5" t="n">
        <f aca="false">V561-L561</f>
        <v>-19313.23</v>
      </c>
      <c r="Z561" s="6" t="n">
        <f aca="false">Y561/L561</f>
        <v>-0.174880827465407</v>
      </c>
      <c r="AA561" s="3" t="n">
        <f aca="false">X561-P561</f>
        <v>-55.51</v>
      </c>
      <c r="AB561" s="6" t="n">
        <f aca="false">AA561/P561</f>
        <v>-0.839026602176542</v>
      </c>
    </row>
    <row r="562" customFormat="false" ht="12.75" hidden="false" customHeight="false" outlineLevel="0" collapsed="false">
      <c r="A562" s="0" t="s">
        <v>651</v>
      </c>
      <c r="B562" s="0" t="n">
        <v>0</v>
      </c>
      <c r="C562" s="0" t="s">
        <v>31</v>
      </c>
      <c r="D562" s="0" t="s">
        <v>31</v>
      </c>
      <c r="E562" s="0" t="n">
        <v>250</v>
      </c>
      <c r="F562" s="0" t="n">
        <v>1479</v>
      </c>
      <c r="G562" s="0" t="n">
        <v>5</v>
      </c>
      <c r="H562" s="0" t="n">
        <v>12</v>
      </c>
      <c r="I562" s="0" t="n">
        <v>12</v>
      </c>
      <c r="J562" s="0" t="n">
        <v>8</v>
      </c>
      <c r="K562" s="0" t="n">
        <v>0.7</v>
      </c>
      <c r="L562" s="1" t="n">
        <v>1479</v>
      </c>
      <c r="M562" s="0" t="n">
        <v>0</v>
      </c>
      <c r="N562" s="0" t="n">
        <v>1479</v>
      </c>
      <c r="O562" s="0" t="n">
        <v>14250</v>
      </c>
      <c r="P562" s="1" t="n">
        <v>18.57</v>
      </c>
      <c r="Q562" s="0" t="n">
        <v>0</v>
      </c>
      <c r="R562" s="0" t="n">
        <v>6</v>
      </c>
      <c r="S562" s="0" t="s">
        <v>42</v>
      </c>
      <c r="T562" s="0" t="str">
        <f aca="false">IF(L562="inf","False","True")</f>
        <v>True</v>
      </c>
      <c r="U562" s="0" t="str">
        <f aca="false">IF(V562="inf","False","True")</f>
        <v>False</v>
      </c>
      <c r="V562" s="4" t="s">
        <v>37</v>
      </c>
      <c r="W562" s="4" t="s">
        <v>37</v>
      </c>
      <c r="X562" s="0" t="n">
        <v>44.05</v>
      </c>
      <c r="Y562" s="5" t="e">
        <f aca="false">V562-L562</f>
        <v>#VALUE!</v>
      </c>
      <c r="Z562" s="6" t="e">
        <f aca="false">Y562/L562</f>
        <v>#VALUE!</v>
      </c>
      <c r="AA562" s="3" t="n">
        <f aca="false">X562-P562</f>
        <v>25.48</v>
      </c>
      <c r="AB562" s="6" t="n">
        <f aca="false">AA562/P562</f>
        <v>1.37210554658051</v>
      </c>
    </row>
    <row r="563" customFormat="false" ht="12.75" hidden="false" customHeight="false" outlineLevel="0" collapsed="false">
      <c r="A563" s="0" t="s">
        <v>652</v>
      </c>
      <c r="B563" s="0" t="n">
        <v>1</v>
      </c>
      <c r="C563" s="0" t="s">
        <v>31</v>
      </c>
      <c r="D563" s="0" t="s">
        <v>31</v>
      </c>
      <c r="E563" s="0" t="n">
        <v>250</v>
      </c>
      <c r="F563" s="0" t="n">
        <v>1549</v>
      </c>
      <c r="G563" s="0" t="n">
        <v>5</v>
      </c>
      <c r="H563" s="0" t="n">
        <v>12</v>
      </c>
      <c r="I563" s="0" t="n">
        <v>12</v>
      </c>
      <c r="J563" s="0" t="n">
        <v>8</v>
      </c>
      <c r="K563" s="0" t="n">
        <v>0.7</v>
      </c>
      <c r="L563" s="1" t="n">
        <v>1549</v>
      </c>
      <c r="M563" s="0" t="n">
        <v>0</v>
      </c>
      <c r="N563" s="0" t="n">
        <v>1549</v>
      </c>
      <c r="O563" s="0" t="n">
        <v>16647</v>
      </c>
      <c r="P563" s="1" t="n">
        <v>10.97</v>
      </c>
      <c r="Q563" s="0" t="n">
        <v>0</v>
      </c>
      <c r="R563" s="0" t="n">
        <v>1</v>
      </c>
      <c r="S563" s="0" t="s">
        <v>42</v>
      </c>
      <c r="T563" s="0" t="str">
        <f aca="false">IF(L563="inf","False","True")</f>
        <v>True</v>
      </c>
      <c r="U563" s="0" t="str">
        <f aca="false">IF(V563="inf","False","True")</f>
        <v>False</v>
      </c>
      <c r="V563" s="4" t="s">
        <v>37</v>
      </c>
      <c r="W563" s="4" t="s">
        <v>37</v>
      </c>
      <c r="X563" s="0" t="n">
        <v>15.45</v>
      </c>
      <c r="Y563" s="5" t="e">
        <f aca="false">V563-L563</f>
        <v>#VALUE!</v>
      </c>
      <c r="Z563" s="6" t="e">
        <f aca="false">Y563/L563</f>
        <v>#VALUE!</v>
      </c>
      <c r="AA563" s="3" t="n">
        <f aca="false">X563-P563</f>
        <v>4.48</v>
      </c>
      <c r="AB563" s="6" t="n">
        <f aca="false">AA563/P563</f>
        <v>0.408386508659982</v>
      </c>
    </row>
    <row r="564" customFormat="false" ht="12.75" hidden="false" customHeight="false" outlineLevel="0" collapsed="false">
      <c r="A564" s="0" t="s">
        <v>653</v>
      </c>
      <c r="B564" s="0" t="n">
        <v>2</v>
      </c>
      <c r="C564" s="0" t="s">
        <v>31</v>
      </c>
      <c r="D564" s="0" t="s">
        <v>31</v>
      </c>
      <c r="E564" s="0" t="n">
        <v>250</v>
      </c>
      <c r="F564" s="0" t="n">
        <v>1475</v>
      </c>
      <c r="G564" s="0" t="n">
        <v>5</v>
      </c>
      <c r="H564" s="0" t="n">
        <v>12</v>
      </c>
      <c r="I564" s="0" t="n">
        <v>12</v>
      </c>
      <c r="J564" s="0" t="n">
        <v>8</v>
      </c>
      <c r="K564" s="0" t="n">
        <v>0.7</v>
      </c>
      <c r="L564" s="1" t="n">
        <v>1475</v>
      </c>
      <c r="M564" s="0" t="n">
        <v>0</v>
      </c>
      <c r="N564" s="0" t="n">
        <v>1475</v>
      </c>
      <c r="O564" s="0" t="n">
        <v>12260</v>
      </c>
      <c r="P564" s="1" t="n">
        <v>22.48</v>
      </c>
      <c r="Q564" s="0" t="n">
        <v>0</v>
      </c>
      <c r="R564" s="0" t="n">
        <v>2</v>
      </c>
      <c r="S564" s="0" t="s">
        <v>42</v>
      </c>
      <c r="T564" s="0" t="str">
        <f aca="false">IF(L564="inf","False","True")</f>
        <v>True</v>
      </c>
      <c r="U564" s="0" t="str">
        <f aca="false">IF(V564="inf","False","True")</f>
        <v>True</v>
      </c>
      <c r="V564" s="4" t="n">
        <v>37664.43</v>
      </c>
      <c r="W564" s="4" t="n">
        <v>11829.11</v>
      </c>
      <c r="X564" s="0" t="n">
        <v>11.54</v>
      </c>
      <c r="Y564" s="5" t="n">
        <f aca="false">V564-L564</f>
        <v>36189.43</v>
      </c>
      <c r="Z564" s="6" t="n">
        <f aca="false">Y564/L564</f>
        <v>24.535206779661</v>
      </c>
      <c r="AA564" s="3" t="n">
        <f aca="false">X564-P564</f>
        <v>-10.94</v>
      </c>
      <c r="AB564" s="6" t="n">
        <f aca="false">AA564/P564</f>
        <v>-0.486654804270463</v>
      </c>
    </row>
    <row r="565" customFormat="false" ht="12.75" hidden="false" customHeight="false" outlineLevel="0" collapsed="false">
      <c r="A565" s="0" t="s">
        <v>654</v>
      </c>
      <c r="B565" s="0" t="n">
        <v>3</v>
      </c>
      <c r="C565" s="0" t="s">
        <v>31</v>
      </c>
      <c r="D565" s="0" t="s">
        <v>31</v>
      </c>
      <c r="E565" s="0" t="n">
        <v>250</v>
      </c>
      <c r="F565" s="0" t="n">
        <v>1482</v>
      </c>
      <c r="G565" s="0" t="n">
        <v>5</v>
      </c>
      <c r="H565" s="0" t="n">
        <v>12</v>
      </c>
      <c r="I565" s="0" t="n">
        <v>12</v>
      </c>
      <c r="J565" s="0" t="n">
        <v>8</v>
      </c>
      <c r="K565" s="0" t="n">
        <v>0.7</v>
      </c>
      <c r="L565" s="1" t="n">
        <v>11368.02</v>
      </c>
      <c r="M565" s="0" t="n">
        <v>9905.21</v>
      </c>
      <c r="N565" s="0" t="n">
        <v>1462.8</v>
      </c>
      <c r="O565" s="0" t="n">
        <v>14004.52</v>
      </c>
      <c r="P565" s="1" t="n">
        <v>130.81</v>
      </c>
      <c r="Q565" s="0" t="n">
        <v>0</v>
      </c>
      <c r="R565" s="0" t="n">
        <v>5</v>
      </c>
      <c r="S565" s="0" t="s">
        <v>655</v>
      </c>
      <c r="T565" s="0" t="str">
        <f aca="false">IF(L565="inf","False","True")</f>
        <v>True</v>
      </c>
      <c r="U565" s="0" t="str">
        <f aca="false">IF(V565="inf","False","True")</f>
        <v>True</v>
      </c>
      <c r="V565" s="4" t="n">
        <v>59268.78</v>
      </c>
      <c r="W565" s="4" t="n">
        <v>13424.05</v>
      </c>
      <c r="X565" s="0" t="n">
        <v>0</v>
      </c>
      <c r="Y565" s="5" t="n">
        <f aca="false">V565-L565</f>
        <v>47900.76</v>
      </c>
      <c r="Z565" s="6" t="n">
        <f aca="false">Y565/L565</f>
        <v>4.21364142568363</v>
      </c>
      <c r="AA565" s="3" t="n">
        <f aca="false">X565-P565</f>
        <v>-130.81</v>
      </c>
      <c r="AB565" s="6" t="n">
        <f aca="false">AA565/P565</f>
        <v>-1</v>
      </c>
    </row>
    <row r="566" customFormat="false" ht="12.75" hidden="false" customHeight="false" outlineLevel="0" collapsed="false">
      <c r="A566" s="0" t="s">
        <v>656</v>
      </c>
      <c r="B566" s="0" t="n">
        <v>4</v>
      </c>
      <c r="C566" s="0" t="s">
        <v>31</v>
      </c>
      <c r="D566" s="0" t="s">
        <v>31</v>
      </c>
      <c r="E566" s="0" t="n">
        <v>250</v>
      </c>
      <c r="F566" s="0" t="n">
        <v>1504</v>
      </c>
      <c r="G566" s="0" t="n">
        <v>5</v>
      </c>
      <c r="H566" s="0" t="n">
        <v>12</v>
      </c>
      <c r="I566" s="0" t="n">
        <v>12</v>
      </c>
      <c r="J566" s="0" t="n">
        <v>8</v>
      </c>
      <c r="K566" s="0" t="n">
        <v>0.7</v>
      </c>
      <c r="L566" s="1" t="n">
        <v>48163.07</v>
      </c>
      <c r="M566" s="0" t="n">
        <v>46767.19</v>
      </c>
      <c r="N566" s="0" t="n">
        <v>1395.88</v>
      </c>
      <c r="O566" s="0" t="n">
        <v>13127.66</v>
      </c>
      <c r="P566" s="1" t="n">
        <v>319.56</v>
      </c>
      <c r="Q566" s="0" t="n">
        <v>0</v>
      </c>
      <c r="R566" s="0" t="n">
        <v>19</v>
      </c>
      <c r="S566" s="0" t="s">
        <v>32</v>
      </c>
      <c r="T566" s="0" t="str">
        <f aca="false">IF(L566="inf","False","True")</f>
        <v>True</v>
      </c>
      <c r="U566" s="0" t="str">
        <f aca="false">IF(V566="inf","False","True")</f>
        <v>True</v>
      </c>
      <c r="V566" s="4" t="n">
        <v>34527.95</v>
      </c>
      <c r="W566" s="4" t="n">
        <v>13784.25</v>
      </c>
      <c r="X566" s="0" t="n">
        <v>27.38</v>
      </c>
      <c r="Y566" s="5" t="n">
        <f aca="false">V566-L566</f>
        <v>-13635.12</v>
      </c>
      <c r="Z566" s="6" t="n">
        <f aca="false">Y566/L566</f>
        <v>-0.283103215804142</v>
      </c>
      <c r="AA566" s="3" t="n">
        <f aca="false">X566-P566</f>
        <v>-292.18</v>
      </c>
      <c r="AB566" s="6" t="n">
        <f aca="false">AA566/P566</f>
        <v>-0.914319689573163</v>
      </c>
    </row>
    <row r="567" customFormat="false" ht="12.75" hidden="false" customHeight="false" outlineLevel="0" collapsed="false">
      <c r="A567" s="0" t="s">
        <v>657</v>
      </c>
      <c r="B567" s="0" t="n">
        <v>0</v>
      </c>
      <c r="C567" s="0" t="s">
        <v>31</v>
      </c>
      <c r="D567" s="0" t="s">
        <v>31</v>
      </c>
      <c r="E567" s="0" t="n">
        <v>416</v>
      </c>
      <c r="F567" s="0" t="n">
        <v>2465</v>
      </c>
      <c r="G567" s="0" t="n">
        <v>5</v>
      </c>
      <c r="H567" s="0" t="n">
        <v>12</v>
      </c>
      <c r="I567" s="0" t="n">
        <v>12</v>
      </c>
      <c r="J567" s="0" t="n">
        <v>8</v>
      </c>
      <c r="K567" s="0" t="n">
        <v>0.7</v>
      </c>
      <c r="L567" s="1" t="n">
        <v>2465</v>
      </c>
      <c r="M567" s="0" t="n">
        <v>0</v>
      </c>
      <c r="N567" s="0" t="n">
        <v>2465</v>
      </c>
      <c r="O567" s="0" t="n">
        <v>23774</v>
      </c>
      <c r="P567" s="1" t="n">
        <v>13.19</v>
      </c>
      <c r="Q567" s="0" t="n">
        <v>0</v>
      </c>
      <c r="R567" s="0" t="n">
        <v>1</v>
      </c>
      <c r="S567" s="0" t="s">
        <v>42</v>
      </c>
      <c r="T567" s="0" t="str">
        <f aca="false">IF(L567="inf","False","True")</f>
        <v>True</v>
      </c>
      <c r="U567" s="0" t="str">
        <f aca="false">IF(V567="inf","False","True")</f>
        <v>True</v>
      </c>
      <c r="V567" s="4" t="n">
        <v>73551.11</v>
      </c>
      <c r="W567" s="4" t="n">
        <v>21654.91</v>
      </c>
      <c r="X567" s="0" t="n">
        <v>0.53</v>
      </c>
      <c r="Y567" s="5" t="n">
        <f aca="false">V567-L567</f>
        <v>71086.11</v>
      </c>
      <c r="Z567" s="6" t="n">
        <f aca="false">Y567/L567</f>
        <v>28.8381784989858</v>
      </c>
      <c r="AA567" s="3" t="n">
        <f aca="false">X567-P567</f>
        <v>-12.66</v>
      </c>
      <c r="AB567" s="6" t="n">
        <f aca="false">AA567/P567</f>
        <v>-0.959818043972707</v>
      </c>
    </row>
    <row r="568" customFormat="false" ht="12.75" hidden="false" customHeight="false" outlineLevel="0" collapsed="false">
      <c r="A568" s="0" t="s">
        <v>658</v>
      </c>
      <c r="B568" s="0" t="n">
        <v>1</v>
      </c>
      <c r="C568" s="0" t="s">
        <v>31</v>
      </c>
      <c r="D568" s="0" t="s">
        <v>31</v>
      </c>
      <c r="E568" s="0" t="n">
        <v>416</v>
      </c>
      <c r="F568" s="0" t="n">
        <v>2580</v>
      </c>
      <c r="G568" s="0" t="n">
        <v>5</v>
      </c>
      <c r="H568" s="0" t="n">
        <v>12</v>
      </c>
      <c r="I568" s="0" t="n">
        <v>12</v>
      </c>
      <c r="J568" s="0" t="n">
        <v>8</v>
      </c>
      <c r="K568" s="0" t="n">
        <v>0.7</v>
      </c>
      <c r="L568" s="1" t="n">
        <v>2580</v>
      </c>
      <c r="M568" s="0" t="n">
        <v>0</v>
      </c>
      <c r="N568" s="0" t="n">
        <v>2580</v>
      </c>
      <c r="O568" s="0" t="n">
        <v>27719</v>
      </c>
      <c r="P568" s="1" t="n">
        <v>10.84</v>
      </c>
      <c r="Q568" s="0" t="n">
        <v>0</v>
      </c>
      <c r="R568" s="0" t="n">
        <v>1</v>
      </c>
      <c r="S568" s="0" t="s">
        <v>42</v>
      </c>
      <c r="T568" s="0" t="str">
        <f aca="false">IF(L568="inf","False","True")</f>
        <v>True</v>
      </c>
      <c r="U568" s="0" t="str">
        <f aca="false">IF(V568="inf","False","True")</f>
        <v>False</v>
      </c>
      <c r="V568" s="4" t="s">
        <v>37</v>
      </c>
      <c r="W568" s="4" t="s">
        <v>37</v>
      </c>
      <c r="X568" s="0" t="n">
        <v>17.25</v>
      </c>
      <c r="Y568" s="5" t="e">
        <f aca="false">V568-L568</f>
        <v>#VALUE!</v>
      </c>
      <c r="Z568" s="6" t="e">
        <f aca="false">Y568/L568</f>
        <v>#VALUE!</v>
      </c>
      <c r="AA568" s="3" t="n">
        <f aca="false">X568-P568</f>
        <v>6.41</v>
      </c>
      <c r="AB568" s="6" t="n">
        <f aca="false">AA568/P568</f>
        <v>0.591328413284133</v>
      </c>
    </row>
    <row r="569" customFormat="false" ht="12.75" hidden="false" customHeight="false" outlineLevel="0" collapsed="false">
      <c r="A569" s="0" t="s">
        <v>659</v>
      </c>
      <c r="B569" s="0" t="n">
        <v>2</v>
      </c>
      <c r="C569" s="0" t="s">
        <v>31</v>
      </c>
      <c r="D569" s="0" t="s">
        <v>31</v>
      </c>
      <c r="E569" s="0" t="n">
        <v>416</v>
      </c>
      <c r="F569" s="0" t="n">
        <v>2458</v>
      </c>
      <c r="G569" s="0" t="n">
        <v>5</v>
      </c>
      <c r="H569" s="0" t="n">
        <v>12</v>
      </c>
      <c r="I569" s="0" t="n">
        <v>12</v>
      </c>
      <c r="J569" s="0" t="n">
        <v>8</v>
      </c>
      <c r="K569" s="0" t="n">
        <v>0.7</v>
      </c>
      <c r="L569" s="1" t="n">
        <v>2458</v>
      </c>
      <c r="M569" s="0" t="n">
        <v>0</v>
      </c>
      <c r="N569" s="0" t="n">
        <v>2458</v>
      </c>
      <c r="O569" s="0" t="n">
        <v>20422</v>
      </c>
      <c r="P569" s="1" t="n">
        <v>17.34</v>
      </c>
      <c r="Q569" s="0" t="n">
        <v>0</v>
      </c>
      <c r="R569" s="0" t="n">
        <v>1</v>
      </c>
      <c r="S569" s="0" t="s">
        <v>42</v>
      </c>
      <c r="T569" s="0" t="str">
        <f aca="false">IF(L569="inf","False","True")</f>
        <v>True</v>
      </c>
      <c r="U569" s="0" t="str">
        <f aca="false">IF(V569="inf","False","True")</f>
        <v>True</v>
      </c>
      <c r="V569" s="4" t="n">
        <v>56291.59</v>
      </c>
      <c r="W569" s="4" t="n">
        <v>20079.74</v>
      </c>
      <c r="X569" s="0" t="n">
        <v>57</v>
      </c>
      <c r="Y569" s="5" t="n">
        <f aca="false">V569-L569</f>
        <v>53833.59</v>
      </c>
      <c r="Z569" s="6" t="n">
        <f aca="false">Y569/L569</f>
        <v>21.901379170057</v>
      </c>
      <c r="AA569" s="3" t="n">
        <f aca="false">X569-P569</f>
        <v>39.66</v>
      </c>
      <c r="AB569" s="6" t="n">
        <f aca="false">AA569/P569</f>
        <v>2.28719723183391</v>
      </c>
    </row>
    <row r="570" customFormat="false" ht="12.75" hidden="false" customHeight="false" outlineLevel="0" collapsed="false">
      <c r="A570" s="0" t="s">
        <v>660</v>
      </c>
      <c r="B570" s="0" t="n">
        <v>3</v>
      </c>
      <c r="C570" s="0" t="s">
        <v>31</v>
      </c>
      <c r="D570" s="0" t="s">
        <v>31</v>
      </c>
      <c r="E570" s="0" t="n">
        <v>416</v>
      </c>
      <c r="F570" s="0" t="n">
        <v>2467</v>
      </c>
      <c r="G570" s="0" t="n">
        <v>5</v>
      </c>
      <c r="H570" s="0" t="n">
        <v>12</v>
      </c>
      <c r="I570" s="0" t="n">
        <v>12</v>
      </c>
      <c r="J570" s="0" t="n">
        <v>8</v>
      </c>
      <c r="K570" s="0" t="n">
        <v>0.7</v>
      </c>
      <c r="L570" s="1" t="n">
        <v>45370.77</v>
      </c>
      <c r="M570" s="0" t="n">
        <v>43011.46</v>
      </c>
      <c r="N570" s="0" t="n">
        <v>2359.32</v>
      </c>
      <c r="O570" s="0" t="n">
        <v>22308.24</v>
      </c>
      <c r="P570" s="1" t="n">
        <v>564.01</v>
      </c>
      <c r="Q570" s="0" t="n">
        <v>0</v>
      </c>
      <c r="R570" s="0" t="n">
        <v>25</v>
      </c>
      <c r="S570" s="0" t="s">
        <v>661</v>
      </c>
      <c r="T570" s="0" t="str">
        <f aca="false">IF(L570="inf","False","True")</f>
        <v>True</v>
      </c>
      <c r="U570" s="0" t="str">
        <f aca="false">IF(V570="inf","False","True")</f>
        <v>True</v>
      </c>
      <c r="V570" s="4" t="n">
        <v>67903.65</v>
      </c>
      <c r="W570" s="4" t="n">
        <v>21107.38</v>
      </c>
      <c r="X570" s="0" t="n">
        <v>9.66</v>
      </c>
      <c r="Y570" s="5" t="n">
        <f aca="false">V570-L570</f>
        <v>22532.88</v>
      </c>
      <c r="Z570" s="6" t="n">
        <f aca="false">Y570/L570</f>
        <v>0.496638694913046</v>
      </c>
      <c r="AA570" s="3" t="n">
        <f aca="false">X570-P570</f>
        <v>-554.35</v>
      </c>
      <c r="AB570" s="6" t="n">
        <f aca="false">AA570/P570</f>
        <v>-0.982872644102055</v>
      </c>
    </row>
    <row r="571" customFormat="false" ht="12.75" hidden="false" customHeight="false" outlineLevel="0" collapsed="false">
      <c r="A571" s="0" t="s">
        <v>662</v>
      </c>
      <c r="B571" s="0" t="n">
        <v>4</v>
      </c>
      <c r="C571" s="0" t="s">
        <v>31</v>
      </c>
      <c r="D571" s="0" t="s">
        <v>31</v>
      </c>
      <c r="E571" s="0" t="n">
        <v>416</v>
      </c>
      <c r="F571" s="0" t="n">
        <v>2508</v>
      </c>
      <c r="G571" s="0" t="n">
        <v>5</v>
      </c>
      <c r="H571" s="0" t="n">
        <v>12</v>
      </c>
      <c r="I571" s="0" t="n">
        <v>12</v>
      </c>
      <c r="J571" s="0" t="n">
        <v>8</v>
      </c>
      <c r="K571" s="0" t="n">
        <v>0.7</v>
      </c>
      <c r="L571" s="1" t="n">
        <v>2508</v>
      </c>
      <c r="M571" s="0" t="n">
        <v>0</v>
      </c>
      <c r="N571" s="0" t="n">
        <v>2508</v>
      </c>
      <c r="O571" s="0" t="n">
        <v>24125</v>
      </c>
      <c r="P571" s="1" t="n">
        <v>10.66</v>
      </c>
      <c r="Q571" s="0" t="n">
        <v>0</v>
      </c>
      <c r="R571" s="0" t="n">
        <v>1</v>
      </c>
      <c r="S571" s="0" t="s">
        <v>42</v>
      </c>
      <c r="T571" s="0" t="str">
        <f aca="false">IF(L571="inf","False","True")</f>
        <v>True</v>
      </c>
      <c r="U571" s="0" t="str">
        <f aca="false">IF(V571="inf","False","True")</f>
        <v>False</v>
      </c>
      <c r="V571" s="4" t="s">
        <v>37</v>
      </c>
      <c r="W571" s="4" t="s">
        <v>37</v>
      </c>
      <c r="X571" s="0" t="n">
        <v>29.4</v>
      </c>
      <c r="Y571" s="5" t="e">
        <f aca="false">V571-L571</f>
        <v>#VALUE!</v>
      </c>
      <c r="Z571" s="6" t="e">
        <f aca="false">Y571/L571</f>
        <v>#VALUE!</v>
      </c>
      <c r="AA571" s="3" t="n">
        <f aca="false">X571-P571</f>
        <v>18.74</v>
      </c>
      <c r="AB571" s="6" t="n">
        <f aca="false">AA571/P571</f>
        <v>1.75797373358349</v>
      </c>
    </row>
    <row r="572" customFormat="false" ht="12.75" hidden="false" customHeight="false" outlineLevel="0" collapsed="false">
      <c r="A572" s="0" t="s">
        <v>663</v>
      </c>
      <c r="B572" s="0" t="n">
        <v>0</v>
      </c>
      <c r="C572" s="0" t="s">
        <v>31</v>
      </c>
      <c r="D572" s="0" t="s">
        <v>31</v>
      </c>
      <c r="E572" s="0" t="n">
        <v>583</v>
      </c>
      <c r="F572" s="0" t="n">
        <v>3459</v>
      </c>
      <c r="G572" s="0" t="n">
        <v>5</v>
      </c>
      <c r="H572" s="0" t="n">
        <v>12</v>
      </c>
      <c r="I572" s="0" t="n">
        <v>12</v>
      </c>
      <c r="J572" s="0" t="n">
        <v>8</v>
      </c>
      <c r="K572" s="0" t="n">
        <v>0.7</v>
      </c>
      <c r="L572" s="1" t="n">
        <v>3459</v>
      </c>
      <c r="M572" s="0" t="n">
        <v>0</v>
      </c>
      <c r="N572" s="0" t="n">
        <v>3459</v>
      </c>
      <c r="O572" s="0" t="n">
        <v>33231</v>
      </c>
      <c r="P572" s="1" t="n">
        <v>12.46</v>
      </c>
      <c r="Q572" s="0" t="n">
        <v>0</v>
      </c>
      <c r="R572" s="0" t="n">
        <v>1</v>
      </c>
      <c r="S572" s="0" t="s">
        <v>42</v>
      </c>
      <c r="T572" s="0" t="str">
        <f aca="false">IF(L572="inf","False","True")</f>
        <v>True</v>
      </c>
      <c r="U572" s="0" t="str">
        <f aca="false">IF(V572="inf","False","True")</f>
        <v>True</v>
      </c>
      <c r="V572" s="4" t="n">
        <v>138539.39</v>
      </c>
      <c r="W572" s="4" t="n">
        <v>30339.17</v>
      </c>
      <c r="X572" s="0" t="n">
        <v>43.13</v>
      </c>
      <c r="Y572" s="5" t="n">
        <f aca="false">V572-L572</f>
        <v>135080.39</v>
      </c>
      <c r="Z572" s="6" t="n">
        <f aca="false">Y572/L572</f>
        <v>39.0518618097716</v>
      </c>
      <c r="AA572" s="3" t="n">
        <f aca="false">X572-P572</f>
        <v>30.67</v>
      </c>
      <c r="AB572" s="6" t="n">
        <f aca="false">AA572/P572</f>
        <v>2.46147672552167</v>
      </c>
    </row>
    <row r="573" customFormat="false" ht="12.75" hidden="false" customHeight="false" outlineLevel="0" collapsed="false">
      <c r="A573" s="0" t="s">
        <v>664</v>
      </c>
      <c r="B573" s="0" t="n">
        <v>1</v>
      </c>
      <c r="C573" s="0" t="s">
        <v>31</v>
      </c>
      <c r="D573" s="0" t="s">
        <v>31</v>
      </c>
      <c r="E573" s="0" t="n">
        <v>583</v>
      </c>
      <c r="F573" s="0" t="n">
        <v>3624</v>
      </c>
      <c r="G573" s="0" t="n">
        <v>5</v>
      </c>
      <c r="H573" s="0" t="n">
        <v>12</v>
      </c>
      <c r="I573" s="0" t="n">
        <v>12</v>
      </c>
      <c r="J573" s="0" t="n">
        <v>8</v>
      </c>
      <c r="K573" s="0" t="n">
        <v>0.7</v>
      </c>
      <c r="L573" s="1" t="n">
        <v>3624</v>
      </c>
      <c r="M573" s="0" t="n">
        <v>0</v>
      </c>
      <c r="N573" s="0" t="n">
        <v>3624</v>
      </c>
      <c r="O573" s="0" t="n">
        <v>39157</v>
      </c>
      <c r="P573" s="1" t="n">
        <v>17.4</v>
      </c>
      <c r="Q573" s="0" t="n">
        <v>0</v>
      </c>
      <c r="R573" s="0" t="n">
        <v>2</v>
      </c>
      <c r="S573" s="0" t="s">
        <v>42</v>
      </c>
      <c r="T573" s="0" t="str">
        <f aca="false">IF(L573="inf","False","True")</f>
        <v>True</v>
      </c>
      <c r="U573" s="0" t="str">
        <f aca="false">IF(V573="inf","False","True")</f>
        <v>True</v>
      </c>
      <c r="V573" s="4" t="n">
        <v>137828.6</v>
      </c>
      <c r="W573" s="4" t="n">
        <v>32776.69</v>
      </c>
      <c r="X573" s="0" t="n">
        <v>9.01</v>
      </c>
      <c r="Y573" s="5" t="n">
        <f aca="false">V573-L573</f>
        <v>134204.6</v>
      </c>
      <c r="Z573" s="6" t="n">
        <f aca="false">Y573/L573</f>
        <v>37.032174392936</v>
      </c>
      <c r="AA573" s="3" t="n">
        <f aca="false">X573-P573</f>
        <v>-8.39</v>
      </c>
      <c r="AB573" s="6" t="n">
        <f aca="false">AA573/P573</f>
        <v>-0.482183908045977</v>
      </c>
    </row>
    <row r="574" customFormat="false" ht="12.75" hidden="false" customHeight="false" outlineLevel="0" collapsed="false">
      <c r="A574" s="0" t="s">
        <v>665</v>
      </c>
      <c r="B574" s="0" t="n">
        <v>2</v>
      </c>
      <c r="C574" s="0" t="s">
        <v>31</v>
      </c>
      <c r="D574" s="0" t="s">
        <v>31</v>
      </c>
      <c r="E574" s="0" t="n">
        <v>583</v>
      </c>
      <c r="F574" s="0" t="n">
        <v>3450</v>
      </c>
      <c r="G574" s="0" t="n">
        <v>5</v>
      </c>
      <c r="H574" s="0" t="n">
        <v>12</v>
      </c>
      <c r="I574" s="0" t="n">
        <v>12</v>
      </c>
      <c r="J574" s="0" t="n">
        <v>8</v>
      </c>
      <c r="K574" s="0" t="n">
        <v>0.7</v>
      </c>
      <c r="L574" s="1" t="n">
        <v>3450</v>
      </c>
      <c r="M574" s="0" t="n">
        <v>0</v>
      </c>
      <c r="N574" s="0" t="n">
        <v>3450</v>
      </c>
      <c r="O574" s="0" t="n">
        <v>28660</v>
      </c>
      <c r="P574" s="1" t="n">
        <v>17.21</v>
      </c>
      <c r="Q574" s="0" t="n">
        <v>0</v>
      </c>
      <c r="R574" s="0" t="n">
        <v>2</v>
      </c>
      <c r="S574" s="0" t="s">
        <v>42</v>
      </c>
      <c r="T574" s="0" t="str">
        <f aca="false">IF(L574="inf","False","True")</f>
        <v>True</v>
      </c>
      <c r="U574" s="0" t="str">
        <f aca="false">IF(V574="inf","False","True")</f>
        <v>True</v>
      </c>
      <c r="V574" s="4" t="n">
        <v>76949.16</v>
      </c>
      <c r="W574" s="4" t="n">
        <v>27011.93</v>
      </c>
      <c r="X574" s="0" t="n">
        <v>95.99</v>
      </c>
      <c r="Y574" s="5" t="n">
        <f aca="false">V574-L574</f>
        <v>73499.16</v>
      </c>
      <c r="Z574" s="6" t="n">
        <f aca="false">Y574/L574</f>
        <v>21.3041043478261</v>
      </c>
      <c r="AA574" s="3" t="n">
        <f aca="false">X574-P574</f>
        <v>78.78</v>
      </c>
      <c r="AB574" s="6" t="n">
        <f aca="false">AA574/P574</f>
        <v>4.57757117954678</v>
      </c>
    </row>
    <row r="575" customFormat="false" ht="12.75" hidden="false" customHeight="false" outlineLevel="0" collapsed="false">
      <c r="A575" s="0" t="s">
        <v>666</v>
      </c>
      <c r="B575" s="0" t="n">
        <v>3</v>
      </c>
      <c r="C575" s="0" t="s">
        <v>31</v>
      </c>
      <c r="D575" s="0" t="s">
        <v>31</v>
      </c>
      <c r="E575" s="0" t="n">
        <v>583</v>
      </c>
      <c r="F575" s="0" t="n">
        <v>3464</v>
      </c>
      <c r="G575" s="0" t="n">
        <v>5</v>
      </c>
      <c r="H575" s="0" t="n">
        <v>12</v>
      </c>
      <c r="I575" s="0" t="n">
        <v>12</v>
      </c>
      <c r="J575" s="0" t="n">
        <v>8</v>
      </c>
      <c r="K575" s="0" t="n">
        <v>0.7</v>
      </c>
      <c r="L575" s="1" t="n">
        <v>29476.91</v>
      </c>
      <c r="M575" s="0" t="n">
        <v>26075.67</v>
      </c>
      <c r="N575" s="0" t="n">
        <v>3401.25</v>
      </c>
      <c r="O575" s="0" t="n">
        <v>32050.31</v>
      </c>
      <c r="P575" s="1" t="n">
        <v>172.06</v>
      </c>
      <c r="Q575" s="0" t="n">
        <v>0</v>
      </c>
      <c r="R575" s="0" t="n">
        <v>5</v>
      </c>
      <c r="S575" s="0" t="s">
        <v>667</v>
      </c>
      <c r="T575" s="0" t="str">
        <f aca="false">IF(L575="inf","False","True")</f>
        <v>True</v>
      </c>
      <c r="U575" s="0" t="str">
        <f aca="false">IF(V575="inf","False","True")</f>
        <v>False</v>
      </c>
      <c r="V575" s="4" t="s">
        <v>37</v>
      </c>
      <c r="W575" s="4" t="s">
        <v>37</v>
      </c>
      <c r="X575" s="0" t="n">
        <v>36.77</v>
      </c>
      <c r="Y575" s="5" t="e">
        <f aca="false">V575-L575</f>
        <v>#VALUE!</v>
      </c>
      <c r="Z575" s="6" t="e">
        <f aca="false">Y575/L575</f>
        <v>#VALUE!</v>
      </c>
      <c r="AA575" s="3" t="n">
        <f aca="false">X575-P575</f>
        <v>-135.29</v>
      </c>
      <c r="AB575" s="6" t="n">
        <f aca="false">AA575/P575</f>
        <v>-0.786295478321516</v>
      </c>
    </row>
    <row r="576" customFormat="false" ht="12.75" hidden="false" customHeight="false" outlineLevel="0" collapsed="false">
      <c r="A576" s="0" t="s">
        <v>668</v>
      </c>
      <c r="B576" s="0" t="n">
        <v>4</v>
      </c>
      <c r="C576" s="0" t="s">
        <v>31</v>
      </c>
      <c r="D576" s="0" t="s">
        <v>31</v>
      </c>
      <c r="E576" s="0" t="n">
        <v>583</v>
      </c>
      <c r="F576" s="0" t="n">
        <v>3520</v>
      </c>
      <c r="G576" s="0" t="n">
        <v>5</v>
      </c>
      <c r="H576" s="0" t="n">
        <v>12</v>
      </c>
      <c r="I576" s="0" t="n">
        <v>12</v>
      </c>
      <c r="J576" s="0" t="n">
        <v>8</v>
      </c>
      <c r="K576" s="0" t="n">
        <v>0.7</v>
      </c>
      <c r="L576" s="1" t="n">
        <v>9850.96</v>
      </c>
      <c r="M576" s="0" t="n">
        <v>6365.04</v>
      </c>
      <c r="N576" s="0" t="n">
        <v>3485.92</v>
      </c>
      <c r="O576" s="0" t="n">
        <v>33381.13</v>
      </c>
      <c r="P576" s="1" t="n">
        <v>79.05</v>
      </c>
      <c r="Q576" s="0" t="n">
        <v>0</v>
      </c>
      <c r="R576" s="0" t="n">
        <v>5</v>
      </c>
      <c r="S576" s="0" t="s">
        <v>669</v>
      </c>
      <c r="T576" s="0" t="str">
        <f aca="false">IF(L576="inf","False","True")</f>
        <v>True</v>
      </c>
      <c r="U576" s="0" t="str">
        <f aca="false">IF(V576="inf","False","True")</f>
        <v>True</v>
      </c>
      <c r="V576" s="4" t="n">
        <v>79159.23</v>
      </c>
      <c r="W576" s="4" t="n">
        <v>31897.92</v>
      </c>
      <c r="X576" s="0" t="n">
        <v>7.33</v>
      </c>
      <c r="Y576" s="5" t="n">
        <f aca="false">V576-L576</f>
        <v>69308.27</v>
      </c>
      <c r="Z576" s="6" t="n">
        <f aca="false">Y576/L576</f>
        <v>7.03568687721806</v>
      </c>
      <c r="AA576" s="3" t="n">
        <f aca="false">X576-P576</f>
        <v>-71.72</v>
      </c>
      <c r="AB576" s="6" t="n">
        <f aca="false">AA576/P576</f>
        <v>-0.907273877292853</v>
      </c>
    </row>
    <row r="577" customFormat="false" ht="12.75" hidden="false" customHeight="false" outlineLevel="0" collapsed="false">
      <c r="A577" s="0" t="s">
        <v>670</v>
      </c>
      <c r="B577" s="0" t="n">
        <v>0</v>
      </c>
      <c r="C577" s="0" t="s">
        <v>31</v>
      </c>
      <c r="D577" s="0" t="s">
        <v>31</v>
      </c>
      <c r="E577" s="0" t="n">
        <v>833</v>
      </c>
      <c r="F577" s="0" t="n">
        <v>4948</v>
      </c>
      <c r="G577" s="0" t="n">
        <v>5</v>
      </c>
      <c r="H577" s="0" t="n">
        <v>12</v>
      </c>
      <c r="I577" s="0" t="n">
        <v>12</v>
      </c>
      <c r="J577" s="0" t="n">
        <v>8</v>
      </c>
      <c r="K577" s="0" t="n">
        <v>0.7</v>
      </c>
      <c r="L577" s="1" t="n">
        <v>4948</v>
      </c>
      <c r="M577" s="0" t="n">
        <v>0</v>
      </c>
      <c r="N577" s="0" t="n">
        <v>4948</v>
      </c>
      <c r="O577" s="0" t="n">
        <v>47481</v>
      </c>
      <c r="P577" s="1" t="n">
        <v>13.33</v>
      </c>
      <c r="Q577" s="0" t="n">
        <v>0</v>
      </c>
      <c r="R577" s="0" t="n">
        <v>1</v>
      </c>
      <c r="S577" s="0" t="s">
        <v>42</v>
      </c>
      <c r="T577" s="0" t="str">
        <f aca="false">IF(L577="inf","False","True")</f>
        <v>True</v>
      </c>
      <c r="U577" s="0" t="str">
        <f aca="false">IF(V577="inf","False","True")</f>
        <v>True</v>
      </c>
      <c r="V577" s="4" t="n">
        <v>123691.49</v>
      </c>
      <c r="W577" s="4" t="n">
        <v>43904.93</v>
      </c>
      <c r="X577" s="0" t="n">
        <v>73.6</v>
      </c>
      <c r="Y577" s="5" t="n">
        <f aca="false">V577-L577</f>
        <v>118743.49</v>
      </c>
      <c r="Z577" s="6" t="n">
        <f aca="false">Y577/L577</f>
        <v>23.998280113177</v>
      </c>
      <c r="AA577" s="3" t="n">
        <f aca="false">X577-P577</f>
        <v>60.27</v>
      </c>
      <c r="AB577" s="6" t="n">
        <f aca="false">AA577/P577</f>
        <v>4.52138034508627</v>
      </c>
    </row>
    <row r="578" customFormat="false" ht="12.75" hidden="false" customHeight="false" outlineLevel="0" collapsed="false">
      <c r="A578" s="0" t="s">
        <v>671</v>
      </c>
      <c r="B578" s="0" t="n">
        <v>1</v>
      </c>
      <c r="C578" s="0" t="s">
        <v>31</v>
      </c>
      <c r="D578" s="0" t="s">
        <v>31</v>
      </c>
      <c r="E578" s="0" t="n">
        <v>833</v>
      </c>
      <c r="F578" s="0" t="n">
        <v>5181</v>
      </c>
      <c r="G578" s="0" t="n">
        <v>5</v>
      </c>
      <c r="H578" s="0" t="n">
        <v>12</v>
      </c>
      <c r="I578" s="0" t="n">
        <v>12</v>
      </c>
      <c r="J578" s="0" t="n">
        <v>8</v>
      </c>
      <c r="K578" s="0" t="n">
        <v>0.7</v>
      </c>
      <c r="L578" s="1" t="n">
        <v>5181</v>
      </c>
      <c r="M578" s="0" t="n">
        <v>0</v>
      </c>
      <c r="N578" s="0" t="n">
        <v>5181</v>
      </c>
      <c r="O578" s="0" t="n">
        <v>55411</v>
      </c>
      <c r="P578" s="1" t="n">
        <v>14.34</v>
      </c>
      <c r="Q578" s="0" t="n">
        <v>0</v>
      </c>
      <c r="R578" s="0" t="n">
        <v>6</v>
      </c>
      <c r="S578" s="0" t="s">
        <v>42</v>
      </c>
      <c r="T578" s="0" t="str">
        <f aca="false">IF(L578="inf","False","True")</f>
        <v>True</v>
      </c>
      <c r="U578" s="0" t="str">
        <f aca="false">IF(V578="inf","False","True")</f>
        <v>True</v>
      </c>
      <c r="V578" s="4" t="n">
        <v>175735.94</v>
      </c>
      <c r="W578" s="4" t="n">
        <v>46321.33</v>
      </c>
      <c r="X578" s="0" t="n">
        <v>28.42</v>
      </c>
      <c r="Y578" s="5" t="n">
        <f aca="false">V578-L578</f>
        <v>170554.94</v>
      </c>
      <c r="Z578" s="6" t="n">
        <f aca="false">Y578/L578</f>
        <v>32.9193090137039</v>
      </c>
      <c r="AA578" s="3" t="n">
        <f aca="false">X578-P578</f>
        <v>14.08</v>
      </c>
      <c r="AB578" s="6" t="n">
        <f aca="false">AA578/P578</f>
        <v>0.98186889818689</v>
      </c>
    </row>
    <row r="579" customFormat="false" ht="12.75" hidden="false" customHeight="false" outlineLevel="0" collapsed="false">
      <c r="A579" s="0" t="s">
        <v>672</v>
      </c>
      <c r="B579" s="0" t="n">
        <v>2</v>
      </c>
      <c r="C579" s="0" t="s">
        <v>31</v>
      </c>
      <c r="D579" s="0" t="s">
        <v>31</v>
      </c>
      <c r="E579" s="0" t="n">
        <v>833</v>
      </c>
      <c r="F579" s="0" t="n">
        <v>4934</v>
      </c>
      <c r="G579" s="0" t="n">
        <v>5</v>
      </c>
      <c r="H579" s="0" t="n">
        <v>12</v>
      </c>
      <c r="I579" s="0" t="n">
        <v>12</v>
      </c>
      <c r="J579" s="0" t="n">
        <v>8</v>
      </c>
      <c r="K579" s="0" t="n">
        <v>0.7</v>
      </c>
      <c r="L579" s="1" t="n">
        <v>4934</v>
      </c>
      <c r="M579" s="0" t="n">
        <v>0</v>
      </c>
      <c r="N579" s="0" t="n">
        <v>4934</v>
      </c>
      <c r="O579" s="0" t="n">
        <v>40843</v>
      </c>
      <c r="P579" s="1" t="n">
        <v>35.1</v>
      </c>
      <c r="Q579" s="0" t="n">
        <v>0</v>
      </c>
      <c r="R579" s="0" t="n">
        <v>6</v>
      </c>
      <c r="S579" s="0" t="s">
        <v>42</v>
      </c>
      <c r="T579" s="0" t="str">
        <f aca="false">IF(L579="inf","False","True")</f>
        <v>True</v>
      </c>
      <c r="U579" s="0" t="str">
        <f aca="false">IF(V579="inf","False","True")</f>
        <v>True</v>
      </c>
      <c r="V579" s="4" t="n">
        <v>86509.38</v>
      </c>
      <c r="W579" s="4" t="n">
        <v>40115.13</v>
      </c>
      <c r="X579" s="0" t="n">
        <v>51.26</v>
      </c>
      <c r="Y579" s="5" t="n">
        <f aca="false">V579-L579</f>
        <v>81575.38</v>
      </c>
      <c r="Z579" s="6" t="n">
        <f aca="false">Y579/L579</f>
        <v>16.5333157681394</v>
      </c>
      <c r="AA579" s="3" t="n">
        <f aca="false">X579-P579</f>
        <v>16.16</v>
      </c>
      <c r="AB579" s="6" t="n">
        <f aca="false">AA579/P579</f>
        <v>0.46039886039886</v>
      </c>
    </row>
    <row r="580" customFormat="false" ht="12.75" hidden="false" customHeight="false" outlineLevel="0" collapsed="false">
      <c r="A580" s="0" t="s">
        <v>673</v>
      </c>
      <c r="B580" s="0" t="n">
        <v>3</v>
      </c>
      <c r="C580" s="0" t="s">
        <v>31</v>
      </c>
      <c r="D580" s="0" t="s">
        <v>31</v>
      </c>
      <c r="E580" s="0" t="n">
        <v>833</v>
      </c>
      <c r="F580" s="0" t="n">
        <v>4954</v>
      </c>
      <c r="G580" s="0" t="n">
        <v>5</v>
      </c>
      <c r="H580" s="0" t="n">
        <v>12</v>
      </c>
      <c r="I580" s="0" t="n">
        <v>12</v>
      </c>
      <c r="J580" s="0" t="n">
        <v>8</v>
      </c>
      <c r="K580" s="0" t="n">
        <v>0.7</v>
      </c>
      <c r="L580" s="1" t="n">
        <v>177348.45</v>
      </c>
      <c r="M580" s="0" t="n">
        <v>172691.98</v>
      </c>
      <c r="N580" s="0" t="n">
        <v>4656.47</v>
      </c>
      <c r="O580" s="0" t="n">
        <v>44522.83</v>
      </c>
      <c r="P580" s="1" t="n">
        <v>263.25</v>
      </c>
      <c r="Q580" s="0" t="n">
        <v>0</v>
      </c>
      <c r="R580" s="0" t="n">
        <v>17</v>
      </c>
      <c r="S580" s="0" t="s">
        <v>32</v>
      </c>
      <c r="T580" s="0" t="str">
        <f aca="false">IF(L580="inf","False","True")</f>
        <v>True</v>
      </c>
      <c r="U580" s="0" t="str">
        <f aca="false">IF(V580="inf","False","True")</f>
        <v>False</v>
      </c>
      <c r="V580" s="4" t="s">
        <v>37</v>
      </c>
      <c r="W580" s="4" t="s">
        <v>37</v>
      </c>
      <c r="X580" s="0" t="n">
        <v>28.18</v>
      </c>
      <c r="Y580" s="5" t="e">
        <f aca="false">V580-L580</f>
        <v>#VALUE!</v>
      </c>
      <c r="Z580" s="6" t="e">
        <f aca="false">Y580/L580</f>
        <v>#VALUE!</v>
      </c>
      <c r="AA580" s="3" t="n">
        <f aca="false">X580-P580</f>
        <v>-235.07</v>
      </c>
      <c r="AB580" s="6" t="n">
        <f aca="false">AA580/P580</f>
        <v>-0.8929534662868</v>
      </c>
    </row>
    <row r="581" customFormat="false" ht="12.75" hidden="false" customHeight="false" outlineLevel="0" collapsed="false">
      <c r="A581" s="0" t="s">
        <v>674</v>
      </c>
      <c r="B581" s="0" t="n">
        <v>4</v>
      </c>
      <c r="C581" s="0" t="s">
        <v>31</v>
      </c>
      <c r="D581" s="0" t="s">
        <v>31</v>
      </c>
      <c r="E581" s="0" t="n">
        <v>833</v>
      </c>
      <c r="F581" s="0" t="n">
        <v>5034</v>
      </c>
      <c r="G581" s="0" t="n">
        <v>5</v>
      </c>
      <c r="H581" s="0" t="n">
        <v>12</v>
      </c>
      <c r="I581" s="0" t="n">
        <v>12</v>
      </c>
      <c r="J581" s="0" t="n">
        <v>8</v>
      </c>
      <c r="K581" s="0" t="n">
        <v>0.7</v>
      </c>
      <c r="L581" s="1" t="n">
        <v>9551.26</v>
      </c>
      <c r="M581" s="0" t="n">
        <v>4546.46</v>
      </c>
      <c r="N581" s="0" t="n">
        <v>5004.81</v>
      </c>
      <c r="O581" s="0" t="n">
        <v>47966.06</v>
      </c>
      <c r="P581" s="1" t="n">
        <v>25.98</v>
      </c>
      <c r="Q581" s="0" t="n">
        <v>0</v>
      </c>
      <c r="R581" s="0" t="n">
        <v>2</v>
      </c>
      <c r="S581" s="0" t="s">
        <v>675</v>
      </c>
      <c r="T581" s="0" t="str">
        <f aca="false">IF(L581="inf","False","True")</f>
        <v>True</v>
      </c>
      <c r="U581" s="0" t="str">
        <f aca="false">IF(V581="inf","False","True")</f>
        <v>True</v>
      </c>
      <c r="V581" s="4" t="n">
        <v>199465.61</v>
      </c>
      <c r="W581" s="4" t="n">
        <v>43711.77</v>
      </c>
      <c r="X581" s="0" t="n">
        <v>5.46</v>
      </c>
      <c r="Y581" s="5" t="n">
        <f aca="false">V581-L581</f>
        <v>189914.35</v>
      </c>
      <c r="Z581" s="6" t="n">
        <f aca="false">Y581/L581</f>
        <v>19.8836959730967</v>
      </c>
      <c r="AA581" s="3" t="n">
        <f aca="false">X581-P581</f>
        <v>-20.52</v>
      </c>
      <c r="AB581" s="6" t="n">
        <f aca="false">AA581/P581</f>
        <v>-0.789838337182448</v>
      </c>
    </row>
    <row r="582" customFormat="false" ht="12.75" hidden="false" customHeight="false" outlineLevel="0" collapsed="false">
      <c r="A582" s="0" t="s">
        <v>676</v>
      </c>
      <c r="B582" s="0" t="n">
        <v>0</v>
      </c>
      <c r="C582" s="0" t="s">
        <v>31</v>
      </c>
      <c r="D582" s="0" t="s">
        <v>31</v>
      </c>
      <c r="E582" s="0" t="n">
        <v>250</v>
      </c>
      <c r="F582" s="0" t="n">
        <v>1521</v>
      </c>
      <c r="G582" s="0" t="n">
        <v>5</v>
      </c>
      <c r="H582" s="0" t="n">
        <v>12</v>
      </c>
      <c r="I582" s="0" t="n">
        <v>12</v>
      </c>
      <c r="J582" s="0" t="n">
        <v>12</v>
      </c>
      <c r="K582" s="0" t="n">
        <v>0.7</v>
      </c>
      <c r="L582" s="1" t="n">
        <v>60007.93</v>
      </c>
      <c r="M582" s="0" t="n">
        <v>58549.02</v>
      </c>
      <c r="N582" s="0" t="n">
        <v>1458.91</v>
      </c>
      <c r="O582" s="0" t="n">
        <v>12458.78</v>
      </c>
      <c r="P582" s="1" t="n">
        <v>290.41</v>
      </c>
      <c r="Q582" s="0" t="n">
        <v>0</v>
      </c>
      <c r="R582" s="0" t="n">
        <v>2</v>
      </c>
      <c r="S582" s="0" t="s">
        <v>32</v>
      </c>
      <c r="T582" s="0" t="str">
        <f aca="false">IF(L582="inf","False","True")</f>
        <v>True</v>
      </c>
      <c r="U582" s="0" t="str">
        <f aca="false">IF(V582="inf","False","True")</f>
        <v>False</v>
      </c>
      <c r="V582" s="4" t="s">
        <v>37</v>
      </c>
      <c r="W582" s="4" t="s">
        <v>37</v>
      </c>
      <c r="X582" s="0" t="n">
        <v>29.12</v>
      </c>
      <c r="Y582" s="5" t="e">
        <f aca="false">V582-L582</f>
        <v>#VALUE!</v>
      </c>
      <c r="Z582" s="6" t="e">
        <f aca="false">Y582/L582</f>
        <v>#VALUE!</v>
      </c>
      <c r="AA582" s="3" t="n">
        <f aca="false">X582-P582</f>
        <v>-261.29</v>
      </c>
      <c r="AB582" s="6" t="n">
        <f aca="false">AA582/P582</f>
        <v>-0.899727970799904</v>
      </c>
    </row>
    <row r="583" customFormat="false" ht="12.75" hidden="false" customHeight="false" outlineLevel="0" collapsed="false">
      <c r="A583" s="0" t="s">
        <v>677</v>
      </c>
      <c r="B583" s="0" t="n">
        <v>1</v>
      </c>
      <c r="C583" s="0" t="s">
        <v>31</v>
      </c>
      <c r="D583" s="0" t="s">
        <v>31</v>
      </c>
      <c r="E583" s="0" t="n">
        <v>250</v>
      </c>
      <c r="F583" s="0" t="n">
        <v>1603</v>
      </c>
      <c r="G583" s="0" t="n">
        <v>5</v>
      </c>
      <c r="H583" s="0" t="n">
        <v>12</v>
      </c>
      <c r="I583" s="0" t="n">
        <v>12</v>
      </c>
      <c r="J583" s="0" t="n">
        <v>12</v>
      </c>
      <c r="K583" s="0" t="n">
        <v>0.7</v>
      </c>
      <c r="L583" s="1" t="n">
        <v>1603</v>
      </c>
      <c r="M583" s="0" t="n">
        <v>0</v>
      </c>
      <c r="N583" s="0" t="n">
        <v>1603</v>
      </c>
      <c r="O583" s="0" t="n">
        <v>14347</v>
      </c>
      <c r="P583" s="1" t="n">
        <v>14.21</v>
      </c>
      <c r="Q583" s="0" t="n">
        <v>0</v>
      </c>
      <c r="R583" s="0" t="n">
        <v>1</v>
      </c>
      <c r="S583" s="0" t="s">
        <v>42</v>
      </c>
      <c r="T583" s="0" t="str">
        <f aca="false">IF(L583="inf","False","True")</f>
        <v>True</v>
      </c>
      <c r="U583" s="0" t="str">
        <f aca="false">IF(V583="inf","False","True")</f>
        <v>True</v>
      </c>
      <c r="V583" s="4" t="n">
        <v>47149.61</v>
      </c>
      <c r="W583" s="4" t="n">
        <v>14080.93</v>
      </c>
      <c r="X583" s="0" t="n">
        <v>8.76</v>
      </c>
      <c r="Y583" s="5" t="n">
        <f aca="false">V583-L583</f>
        <v>45546.61</v>
      </c>
      <c r="Z583" s="6" t="n">
        <f aca="false">Y583/L583</f>
        <v>28.4133562071117</v>
      </c>
      <c r="AA583" s="3" t="n">
        <f aca="false">X583-P583</f>
        <v>-5.45</v>
      </c>
      <c r="AB583" s="6" t="n">
        <f aca="false">AA583/P583</f>
        <v>-0.383532723434201</v>
      </c>
    </row>
    <row r="584" customFormat="false" ht="12.75" hidden="false" customHeight="false" outlineLevel="0" collapsed="false">
      <c r="A584" s="0" t="s">
        <v>678</v>
      </c>
      <c r="B584" s="0" t="n">
        <v>2</v>
      </c>
      <c r="C584" s="0" t="s">
        <v>31</v>
      </c>
      <c r="D584" s="0" t="s">
        <v>31</v>
      </c>
      <c r="E584" s="0" t="n">
        <v>250</v>
      </c>
      <c r="F584" s="0" t="n">
        <v>1543</v>
      </c>
      <c r="G584" s="0" t="n">
        <v>5</v>
      </c>
      <c r="H584" s="0" t="n">
        <v>12</v>
      </c>
      <c r="I584" s="0" t="n">
        <v>12</v>
      </c>
      <c r="J584" s="0" t="n">
        <v>12</v>
      </c>
      <c r="K584" s="0" t="n">
        <v>0.7</v>
      </c>
      <c r="L584" s="1" t="n">
        <v>51216.67</v>
      </c>
      <c r="M584" s="0" t="n">
        <v>49839.22</v>
      </c>
      <c r="N584" s="0" t="n">
        <v>1377.45</v>
      </c>
      <c r="O584" s="0" t="n">
        <v>13414.93</v>
      </c>
      <c r="P584" s="1" t="n">
        <v>611.58</v>
      </c>
      <c r="Q584" s="0" t="n">
        <v>0</v>
      </c>
      <c r="R584" s="0" t="n">
        <v>7</v>
      </c>
      <c r="S584" s="0" t="s">
        <v>32</v>
      </c>
      <c r="T584" s="0" t="str">
        <f aca="false">IF(L584="inf","False","True")</f>
        <v>True</v>
      </c>
      <c r="U584" s="0" t="str">
        <f aca="false">IF(V584="inf","False","True")</f>
        <v>True</v>
      </c>
      <c r="V584" s="4" t="n">
        <v>51177.85</v>
      </c>
      <c r="W584" s="4" t="n">
        <v>13721.07</v>
      </c>
      <c r="X584" s="0" t="n">
        <v>22.66</v>
      </c>
      <c r="Y584" s="5" t="n">
        <f aca="false">V584-L584</f>
        <v>-38.8199999999997</v>
      </c>
      <c r="Z584" s="6" t="n">
        <f aca="false">Y584/L584</f>
        <v>-0.0007579563450728</v>
      </c>
      <c r="AA584" s="3" t="n">
        <f aca="false">X584-P584</f>
        <v>-588.92</v>
      </c>
      <c r="AB584" s="6" t="n">
        <f aca="false">AA584/P584</f>
        <v>-0.962948428660192</v>
      </c>
    </row>
    <row r="585" customFormat="false" ht="12.75" hidden="false" customHeight="false" outlineLevel="0" collapsed="false">
      <c r="A585" s="0" t="s">
        <v>679</v>
      </c>
      <c r="B585" s="0" t="n">
        <v>3</v>
      </c>
      <c r="C585" s="0" t="s">
        <v>31</v>
      </c>
      <c r="D585" s="0" t="s">
        <v>31</v>
      </c>
      <c r="E585" s="0" t="n">
        <v>250</v>
      </c>
      <c r="F585" s="0" t="n">
        <v>1580</v>
      </c>
      <c r="G585" s="0" t="n">
        <v>5</v>
      </c>
      <c r="H585" s="0" t="n">
        <v>12</v>
      </c>
      <c r="I585" s="0" t="n">
        <v>12</v>
      </c>
      <c r="J585" s="0" t="n">
        <v>12</v>
      </c>
      <c r="K585" s="0" t="n">
        <v>0.7</v>
      </c>
      <c r="L585" s="1" t="n">
        <v>1580</v>
      </c>
      <c r="M585" s="0" t="n">
        <v>0</v>
      </c>
      <c r="N585" s="0" t="n">
        <v>1580</v>
      </c>
      <c r="O585" s="0" t="n">
        <v>14863</v>
      </c>
      <c r="P585" s="1" t="n">
        <v>26.87</v>
      </c>
      <c r="Q585" s="0" t="n">
        <v>0</v>
      </c>
      <c r="R585" s="0" t="n">
        <v>1</v>
      </c>
      <c r="S585" s="0" t="s">
        <v>42</v>
      </c>
      <c r="T585" s="0" t="str">
        <f aca="false">IF(L585="inf","False","True")</f>
        <v>True</v>
      </c>
      <c r="U585" s="0" t="str">
        <f aca="false">IF(V585="inf","False","True")</f>
        <v>True</v>
      </c>
      <c r="V585" s="4" t="n">
        <v>48029.42</v>
      </c>
      <c r="W585" s="4" t="n">
        <v>13073.87</v>
      </c>
      <c r="X585" s="0" t="n">
        <v>1.64</v>
      </c>
      <c r="Y585" s="5" t="n">
        <f aca="false">V585-L585</f>
        <v>46449.42</v>
      </c>
      <c r="Z585" s="6" t="n">
        <f aca="false">Y585/L585</f>
        <v>29.3983670886076</v>
      </c>
      <c r="AA585" s="3" t="n">
        <f aca="false">X585-P585</f>
        <v>-25.23</v>
      </c>
      <c r="AB585" s="6" t="n">
        <f aca="false">AA585/P585</f>
        <v>-0.938965388909565</v>
      </c>
    </row>
    <row r="586" customFormat="false" ht="12.75" hidden="false" customHeight="false" outlineLevel="0" collapsed="false">
      <c r="A586" s="0" t="s">
        <v>680</v>
      </c>
      <c r="B586" s="0" t="n">
        <v>4</v>
      </c>
      <c r="C586" s="0" t="s">
        <v>31</v>
      </c>
      <c r="D586" s="0" t="s">
        <v>31</v>
      </c>
      <c r="E586" s="0" t="n">
        <v>250</v>
      </c>
      <c r="F586" s="0" t="n">
        <v>1628</v>
      </c>
      <c r="G586" s="0" t="n">
        <v>5</v>
      </c>
      <c r="H586" s="0" t="n">
        <v>12</v>
      </c>
      <c r="I586" s="0" t="n">
        <v>12</v>
      </c>
      <c r="J586" s="0" t="n">
        <v>12</v>
      </c>
      <c r="K586" s="0" t="n">
        <v>0.7</v>
      </c>
      <c r="L586" s="1" t="n">
        <v>1628</v>
      </c>
      <c r="M586" s="0" t="n">
        <v>0</v>
      </c>
      <c r="N586" s="0" t="n">
        <v>1628</v>
      </c>
      <c r="O586" s="0" t="n">
        <v>14339</v>
      </c>
      <c r="P586" s="1" t="n">
        <v>10.46</v>
      </c>
      <c r="Q586" s="0" t="n">
        <v>0</v>
      </c>
      <c r="R586" s="0" t="n">
        <v>1</v>
      </c>
      <c r="S586" s="0" t="s">
        <v>42</v>
      </c>
      <c r="T586" s="0" t="str">
        <f aca="false">IF(L586="inf","False","True")</f>
        <v>True</v>
      </c>
      <c r="U586" s="0" t="str">
        <f aca="false">IF(V586="inf","False","True")</f>
        <v>True</v>
      </c>
      <c r="V586" s="4" t="n">
        <v>56750.93</v>
      </c>
      <c r="W586" s="4" t="n">
        <v>13224.45</v>
      </c>
      <c r="X586" s="0" t="n">
        <v>2.96</v>
      </c>
      <c r="Y586" s="5" t="n">
        <f aca="false">V586-L586</f>
        <v>55122.93</v>
      </c>
      <c r="Z586" s="6" t="n">
        <f aca="false">Y586/L586</f>
        <v>33.8592936117936</v>
      </c>
      <c r="AA586" s="3" t="n">
        <f aca="false">X586-P586</f>
        <v>-7.5</v>
      </c>
      <c r="AB586" s="6" t="n">
        <f aca="false">AA586/P586</f>
        <v>-0.717017208413002</v>
      </c>
    </row>
    <row r="587" customFormat="false" ht="12.75" hidden="false" customHeight="false" outlineLevel="0" collapsed="false">
      <c r="A587" s="0" t="s">
        <v>681</v>
      </c>
      <c r="B587" s="0" t="n">
        <v>0</v>
      </c>
      <c r="C587" s="0" t="s">
        <v>31</v>
      </c>
      <c r="D587" s="0" t="s">
        <v>31</v>
      </c>
      <c r="E587" s="0" t="n">
        <v>416</v>
      </c>
      <c r="F587" s="0" t="n">
        <v>2534</v>
      </c>
      <c r="G587" s="0" t="n">
        <v>5</v>
      </c>
      <c r="H587" s="0" t="n">
        <v>12</v>
      </c>
      <c r="I587" s="0" t="n">
        <v>12</v>
      </c>
      <c r="J587" s="0" t="n">
        <v>12</v>
      </c>
      <c r="K587" s="0" t="n">
        <v>0.7</v>
      </c>
      <c r="L587" s="1" t="n">
        <v>102511.75</v>
      </c>
      <c r="M587" s="0" t="n">
        <v>100178.18</v>
      </c>
      <c r="N587" s="0" t="n">
        <v>2333.57</v>
      </c>
      <c r="O587" s="0" t="n">
        <v>21333.87</v>
      </c>
      <c r="P587" s="1" t="n">
        <v>144.87</v>
      </c>
      <c r="Q587" s="0" t="n">
        <v>0</v>
      </c>
      <c r="R587" s="0" t="n">
        <v>3</v>
      </c>
      <c r="S587" s="0" t="s">
        <v>32</v>
      </c>
      <c r="T587" s="0" t="str">
        <f aca="false">IF(L587="inf","False","True")</f>
        <v>True</v>
      </c>
      <c r="U587" s="0" t="str">
        <f aca="false">IF(V587="inf","False","True")</f>
        <v>True</v>
      </c>
      <c r="V587" s="4" t="n">
        <v>81602.54</v>
      </c>
      <c r="W587" s="4" t="n">
        <v>22247.24</v>
      </c>
      <c r="X587" s="0" t="n">
        <v>109.85</v>
      </c>
      <c r="Y587" s="5" t="n">
        <f aca="false">V587-L587</f>
        <v>-20909.21</v>
      </c>
      <c r="Z587" s="6" t="n">
        <f aca="false">Y587/L587</f>
        <v>-0.203968910880948</v>
      </c>
      <c r="AA587" s="3" t="n">
        <f aca="false">X587-P587</f>
        <v>-35.02</v>
      </c>
      <c r="AB587" s="6" t="n">
        <f aca="false">AA587/P587</f>
        <v>-0.241733968385449</v>
      </c>
    </row>
    <row r="588" customFormat="false" ht="12.75" hidden="false" customHeight="false" outlineLevel="0" collapsed="false">
      <c r="A588" s="0" t="s">
        <v>682</v>
      </c>
      <c r="B588" s="0" t="n">
        <v>1</v>
      </c>
      <c r="C588" s="0" t="s">
        <v>31</v>
      </c>
      <c r="D588" s="0" t="s">
        <v>31</v>
      </c>
      <c r="E588" s="0" t="n">
        <v>416</v>
      </c>
      <c r="F588" s="0" t="n">
        <v>2670</v>
      </c>
      <c r="G588" s="0" t="n">
        <v>5</v>
      </c>
      <c r="H588" s="0" t="n">
        <v>12</v>
      </c>
      <c r="I588" s="0" t="n">
        <v>12</v>
      </c>
      <c r="J588" s="0" t="n">
        <v>12</v>
      </c>
      <c r="K588" s="0" t="n">
        <v>0.7</v>
      </c>
      <c r="L588" s="1" t="n">
        <v>2670</v>
      </c>
      <c r="M588" s="0" t="n">
        <v>0</v>
      </c>
      <c r="N588" s="0" t="n">
        <v>2670</v>
      </c>
      <c r="O588" s="0" t="n">
        <v>23883</v>
      </c>
      <c r="P588" s="1" t="n">
        <v>19.33</v>
      </c>
      <c r="Q588" s="0" t="n">
        <v>0</v>
      </c>
      <c r="R588" s="0" t="n">
        <v>1</v>
      </c>
      <c r="S588" s="0" t="s">
        <v>42</v>
      </c>
      <c r="T588" s="0" t="str">
        <f aca="false">IF(L588="inf","False","True")</f>
        <v>True</v>
      </c>
      <c r="U588" s="0" t="str">
        <f aca="false">IF(V588="inf","False","True")</f>
        <v>True</v>
      </c>
      <c r="V588" s="4" t="n">
        <v>45231.12</v>
      </c>
      <c r="W588" s="4" t="n">
        <v>21942.95</v>
      </c>
      <c r="X588" s="0" t="n">
        <v>146.07</v>
      </c>
      <c r="Y588" s="5" t="n">
        <f aca="false">V588-L588</f>
        <v>42561.12</v>
      </c>
      <c r="Z588" s="6" t="n">
        <f aca="false">Y588/L588</f>
        <v>15.9404943820225</v>
      </c>
      <c r="AA588" s="3" t="n">
        <f aca="false">X588-P588</f>
        <v>126.74</v>
      </c>
      <c r="AB588" s="6" t="n">
        <f aca="false">AA588/P588</f>
        <v>6.55664769787895</v>
      </c>
    </row>
    <row r="589" customFormat="false" ht="12.75" hidden="false" customHeight="false" outlineLevel="0" collapsed="false">
      <c r="A589" s="0" t="s">
        <v>683</v>
      </c>
      <c r="B589" s="0" t="n">
        <v>2</v>
      </c>
      <c r="C589" s="0" t="s">
        <v>31</v>
      </c>
      <c r="D589" s="0" t="s">
        <v>31</v>
      </c>
      <c r="E589" s="0" t="n">
        <v>416</v>
      </c>
      <c r="F589" s="0" t="n">
        <v>2570</v>
      </c>
      <c r="G589" s="0" t="n">
        <v>5</v>
      </c>
      <c r="H589" s="0" t="n">
        <v>12</v>
      </c>
      <c r="I589" s="0" t="n">
        <v>12</v>
      </c>
      <c r="J589" s="0" t="n">
        <v>12</v>
      </c>
      <c r="K589" s="0" t="n">
        <v>0.7</v>
      </c>
      <c r="L589" s="1" t="n">
        <v>26931.29</v>
      </c>
      <c r="M589" s="0" t="n">
        <v>24415.61</v>
      </c>
      <c r="N589" s="0" t="n">
        <v>2515.68</v>
      </c>
      <c r="O589" s="0" t="n">
        <v>23307.54</v>
      </c>
      <c r="P589" s="1" t="n">
        <v>607.08</v>
      </c>
      <c r="Q589" s="0" t="n">
        <v>0</v>
      </c>
      <c r="R589" s="0" t="n">
        <v>7</v>
      </c>
      <c r="S589" s="0" t="s">
        <v>684</v>
      </c>
      <c r="T589" s="0" t="str">
        <f aca="false">IF(L589="inf","False","True")</f>
        <v>True</v>
      </c>
      <c r="U589" s="0" t="str">
        <f aca="false">IF(V589="inf","False","True")</f>
        <v>True</v>
      </c>
      <c r="V589" s="4" t="n">
        <v>82573.46</v>
      </c>
      <c r="W589" s="4" t="n">
        <v>22041.32</v>
      </c>
      <c r="X589" s="0" t="n">
        <v>63.41</v>
      </c>
      <c r="Y589" s="5" t="n">
        <f aca="false">V589-L589</f>
        <v>55642.17</v>
      </c>
      <c r="Z589" s="6" t="n">
        <f aca="false">Y589/L589</f>
        <v>2.06607889930263</v>
      </c>
      <c r="AA589" s="3" t="n">
        <f aca="false">X589-P589</f>
        <v>-543.67</v>
      </c>
      <c r="AB589" s="6" t="n">
        <f aca="false">AA589/P589</f>
        <v>-0.895549186268696</v>
      </c>
    </row>
    <row r="590" customFormat="false" ht="12.75" hidden="false" customHeight="false" outlineLevel="0" collapsed="false">
      <c r="A590" s="0" t="s">
        <v>685</v>
      </c>
      <c r="B590" s="0" t="n">
        <v>3</v>
      </c>
      <c r="C590" s="0" t="s">
        <v>31</v>
      </c>
      <c r="D590" s="0" t="s">
        <v>31</v>
      </c>
      <c r="E590" s="0" t="n">
        <v>416</v>
      </c>
      <c r="F590" s="0" t="n">
        <v>2633</v>
      </c>
      <c r="G590" s="0" t="n">
        <v>5</v>
      </c>
      <c r="H590" s="0" t="n">
        <v>12</v>
      </c>
      <c r="I590" s="0" t="n">
        <v>12</v>
      </c>
      <c r="J590" s="0" t="n">
        <v>12</v>
      </c>
      <c r="K590" s="0" t="n">
        <v>0.7</v>
      </c>
      <c r="L590" s="1" t="n">
        <v>2633</v>
      </c>
      <c r="M590" s="0" t="n">
        <v>0</v>
      </c>
      <c r="N590" s="0" t="n">
        <v>2633</v>
      </c>
      <c r="O590" s="0" t="n">
        <v>24736</v>
      </c>
      <c r="P590" s="1" t="n">
        <v>21.75</v>
      </c>
      <c r="Q590" s="0" t="n">
        <v>0</v>
      </c>
      <c r="R590" s="0" t="n">
        <v>1</v>
      </c>
      <c r="S590" s="0" t="s">
        <v>42</v>
      </c>
      <c r="T590" s="0" t="str">
        <f aca="false">IF(L590="inf","False","True")</f>
        <v>True</v>
      </c>
      <c r="U590" s="0" t="str">
        <f aca="false">IF(V590="inf","False","True")</f>
        <v>True</v>
      </c>
      <c r="V590" s="4" t="n">
        <v>83618.99</v>
      </c>
      <c r="W590" s="4" t="n">
        <v>22206.6</v>
      </c>
      <c r="X590" s="0" t="n">
        <v>1.47</v>
      </c>
      <c r="Y590" s="5" t="n">
        <f aca="false">V590-L590</f>
        <v>80985.99</v>
      </c>
      <c r="Z590" s="6" t="n">
        <f aca="false">Y590/L590</f>
        <v>30.7580668439043</v>
      </c>
      <c r="AA590" s="3" t="n">
        <f aca="false">X590-P590</f>
        <v>-20.28</v>
      </c>
      <c r="AB590" s="6" t="n">
        <f aca="false">AA590/P590</f>
        <v>-0.932413793103448</v>
      </c>
    </row>
    <row r="591" customFormat="false" ht="12.75" hidden="false" customHeight="false" outlineLevel="0" collapsed="false">
      <c r="A591" s="0" t="s">
        <v>686</v>
      </c>
      <c r="B591" s="0" t="n">
        <v>4</v>
      </c>
      <c r="C591" s="0" t="s">
        <v>31</v>
      </c>
      <c r="D591" s="0" t="s">
        <v>31</v>
      </c>
      <c r="E591" s="0" t="n">
        <v>416</v>
      </c>
      <c r="F591" s="0" t="n">
        <v>2708</v>
      </c>
      <c r="G591" s="0" t="n">
        <v>5</v>
      </c>
      <c r="H591" s="0" t="n">
        <v>12</v>
      </c>
      <c r="I591" s="0" t="n">
        <v>12</v>
      </c>
      <c r="J591" s="0" t="n">
        <v>12</v>
      </c>
      <c r="K591" s="0" t="n">
        <v>0.7</v>
      </c>
      <c r="L591" s="1" t="n">
        <v>2708</v>
      </c>
      <c r="M591" s="0" t="n">
        <v>0</v>
      </c>
      <c r="N591" s="0" t="n">
        <v>2708</v>
      </c>
      <c r="O591" s="0" t="n">
        <v>23847</v>
      </c>
      <c r="P591" s="1" t="n">
        <v>10.24</v>
      </c>
      <c r="Q591" s="0" t="n">
        <v>0</v>
      </c>
      <c r="R591" s="0" t="n">
        <v>1</v>
      </c>
      <c r="S591" s="0" t="s">
        <v>42</v>
      </c>
      <c r="T591" s="0" t="str">
        <f aca="false">IF(L591="inf","False","True")</f>
        <v>True</v>
      </c>
      <c r="U591" s="0" t="str">
        <f aca="false">IF(V591="inf","False","True")</f>
        <v>True</v>
      </c>
      <c r="V591" s="4" t="n">
        <v>65067.51</v>
      </c>
      <c r="W591" s="4" t="n">
        <v>21680.6</v>
      </c>
      <c r="X591" s="0" t="n">
        <v>240.12</v>
      </c>
      <c r="Y591" s="5" t="n">
        <f aca="false">V591-L591</f>
        <v>62359.51</v>
      </c>
      <c r="Z591" s="6" t="n">
        <f aca="false">Y591/L591</f>
        <v>23.0278840472674</v>
      </c>
      <c r="AA591" s="3" t="n">
        <f aca="false">X591-P591</f>
        <v>229.88</v>
      </c>
      <c r="AB591" s="6" t="n">
        <f aca="false">AA591/P591</f>
        <v>22.44921875</v>
      </c>
    </row>
    <row r="592" customFormat="false" ht="12.75" hidden="false" customHeight="false" outlineLevel="0" collapsed="false">
      <c r="A592" s="0" t="s">
        <v>687</v>
      </c>
      <c r="B592" s="0" t="n">
        <v>0</v>
      </c>
      <c r="C592" s="0" t="s">
        <v>31</v>
      </c>
      <c r="D592" s="0" t="s">
        <v>31</v>
      </c>
      <c r="E592" s="0" t="n">
        <v>583</v>
      </c>
      <c r="F592" s="0" t="n">
        <v>3558</v>
      </c>
      <c r="G592" s="0" t="n">
        <v>5</v>
      </c>
      <c r="H592" s="0" t="n">
        <v>12</v>
      </c>
      <c r="I592" s="0" t="n">
        <v>12</v>
      </c>
      <c r="J592" s="0" t="n">
        <v>12</v>
      </c>
      <c r="K592" s="0" t="n">
        <v>0.7</v>
      </c>
      <c r="L592" s="1" t="n">
        <v>42244.54</v>
      </c>
      <c r="M592" s="0" t="n">
        <v>38746.43</v>
      </c>
      <c r="N592" s="0" t="n">
        <v>3498.11</v>
      </c>
      <c r="O592" s="0" t="n">
        <v>32280.52</v>
      </c>
      <c r="P592" s="1" t="n">
        <v>628.46</v>
      </c>
      <c r="Q592" s="0" t="n">
        <v>0</v>
      </c>
      <c r="R592" s="0" t="n">
        <v>7</v>
      </c>
      <c r="S592" s="0" t="s">
        <v>688</v>
      </c>
      <c r="T592" s="0" t="str">
        <f aca="false">IF(L592="inf","False","True")</f>
        <v>True</v>
      </c>
      <c r="U592" s="0" t="str">
        <f aca="false">IF(V592="inf","False","True")</f>
        <v>True</v>
      </c>
      <c r="V592" s="4" t="n">
        <v>107847.12</v>
      </c>
      <c r="W592" s="4" t="n">
        <v>31988.93</v>
      </c>
      <c r="X592" s="0" t="n">
        <v>55.51</v>
      </c>
      <c r="Y592" s="5" t="n">
        <f aca="false">V592-L592</f>
        <v>65602.58</v>
      </c>
      <c r="Z592" s="6" t="n">
        <f aca="false">Y592/L592</f>
        <v>1.5529244726064</v>
      </c>
      <c r="AA592" s="3" t="n">
        <f aca="false">X592-P592</f>
        <v>-572.95</v>
      </c>
      <c r="AB592" s="6" t="n">
        <f aca="false">AA592/P592</f>
        <v>-0.911672978391624</v>
      </c>
    </row>
    <row r="593" customFormat="false" ht="12.75" hidden="false" customHeight="false" outlineLevel="0" collapsed="false">
      <c r="A593" s="0" t="s">
        <v>689</v>
      </c>
      <c r="B593" s="0" t="n">
        <v>1</v>
      </c>
      <c r="C593" s="0" t="s">
        <v>31</v>
      </c>
      <c r="D593" s="0" t="s">
        <v>31</v>
      </c>
      <c r="E593" s="0" t="n">
        <v>583</v>
      </c>
      <c r="F593" s="0" t="n">
        <v>3748</v>
      </c>
      <c r="G593" s="0" t="n">
        <v>5</v>
      </c>
      <c r="H593" s="0" t="n">
        <v>12</v>
      </c>
      <c r="I593" s="0" t="n">
        <v>12</v>
      </c>
      <c r="J593" s="0" t="n">
        <v>12</v>
      </c>
      <c r="K593" s="0" t="n">
        <v>0.7</v>
      </c>
      <c r="L593" s="1" t="n">
        <v>3748</v>
      </c>
      <c r="M593" s="0" t="n">
        <v>0</v>
      </c>
      <c r="N593" s="0" t="n">
        <v>3748</v>
      </c>
      <c r="O593" s="0" t="n">
        <v>33422</v>
      </c>
      <c r="P593" s="1" t="n">
        <v>14.55</v>
      </c>
      <c r="Q593" s="0" t="n">
        <v>0</v>
      </c>
      <c r="R593" s="0" t="n">
        <v>2</v>
      </c>
      <c r="S593" s="0" t="s">
        <v>42</v>
      </c>
      <c r="T593" s="0" t="str">
        <f aca="false">IF(L593="inf","False","True")</f>
        <v>True</v>
      </c>
      <c r="U593" s="0" t="str">
        <f aca="false">IF(V593="inf","False","True")</f>
        <v>True</v>
      </c>
      <c r="V593" s="4" t="n">
        <v>106371.74</v>
      </c>
      <c r="W593" s="4" t="n">
        <v>30195.43</v>
      </c>
      <c r="X593" s="0" t="n">
        <v>246.07</v>
      </c>
      <c r="Y593" s="5" t="n">
        <f aca="false">V593-L593</f>
        <v>102623.74</v>
      </c>
      <c r="Z593" s="6" t="n">
        <f aca="false">Y593/L593</f>
        <v>27.3809338313767</v>
      </c>
      <c r="AA593" s="3" t="n">
        <f aca="false">X593-P593</f>
        <v>231.52</v>
      </c>
      <c r="AB593" s="6" t="n">
        <f aca="false">AA593/P593</f>
        <v>15.9120274914089</v>
      </c>
    </row>
    <row r="594" customFormat="false" ht="12.75" hidden="false" customHeight="false" outlineLevel="0" collapsed="false">
      <c r="A594" s="0" t="s">
        <v>690</v>
      </c>
      <c r="B594" s="0" t="n">
        <v>2</v>
      </c>
      <c r="C594" s="0" t="s">
        <v>31</v>
      </c>
      <c r="D594" s="0" t="s">
        <v>31</v>
      </c>
      <c r="E594" s="0" t="n">
        <v>583</v>
      </c>
      <c r="F594" s="0" t="n">
        <v>3608</v>
      </c>
      <c r="G594" s="0" t="n">
        <v>5</v>
      </c>
      <c r="H594" s="0" t="n">
        <v>12</v>
      </c>
      <c r="I594" s="0" t="n">
        <v>12</v>
      </c>
      <c r="J594" s="0" t="n">
        <v>12</v>
      </c>
      <c r="K594" s="0" t="n">
        <v>0.7</v>
      </c>
      <c r="L594" s="1" t="n">
        <v>132731.03</v>
      </c>
      <c r="M594" s="0" t="n">
        <v>129353.01</v>
      </c>
      <c r="N594" s="0" t="n">
        <v>3378.02</v>
      </c>
      <c r="O594" s="0" t="n">
        <v>29925.52</v>
      </c>
      <c r="P594" s="1" t="n">
        <v>600.18</v>
      </c>
      <c r="Q594" s="0" t="n">
        <v>0</v>
      </c>
      <c r="R594" s="0" t="n">
        <v>2</v>
      </c>
      <c r="S594" s="0" t="s">
        <v>32</v>
      </c>
      <c r="T594" s="0" t="str">
        <f aca="false">IF(L594="inf","False","True")</f>
        <v>True</v>
      </c>
      <c r="U594" s="0" t="str">
        <f aca="false">IF(V594="inf","False","True")</f>
        <v>True</v>
      </c>
      <c r="V594" s="4" t="n">
        <v>89308.9</v>
      </c>
      <c r="W594" s="4" t="n">
        <v>31041.92</v>
      </c>
      <c r="X594" s="0" t="n">
        <v>164.15</v>
      </c>
      <c r="Y594" s="5" t="n">
        <f aca="false">V594-L594</f>
        <v>-43422.13</v>
      </c>
      <c r="Z594" s="6" t="n">
        <f aca="false">Y594/L594</f>
        <v>-0.327143773388936</v>
      </c>
      <c r="AA594" s="3" t="n">
        <f aca="false">X594-P594</f>
        <v>-436.03</v>
      </c>
      <c r="AB594" s="6" t="n">
        <f aca="false">AA594/P594</f>
        <v>-0.726498717051551</v>
      </c>
    </row>
    <row r="595" customFormat="false" ht="12.75" hidden="false" customHeight="false" outlineLevel="0" collapsed="false">
      <c r="A595" s="0" t="s">
        <v>691</v>
      </c>
      <c r="B595" s="0" t="n">
        <v>3</v>
      </c>
      <c r="C595" s="0" t="s">
        <v>31</v>
      </c>
      <c r="D595" s="0" t="s">
        <v>31</v>
      </c>
      <c r="E595" s="0" t="n">
        <v>583</v>
      </c>
      <c r="F595" s="0" t="n">
        <v>3696</v>
      </c>
      <c r="G595" s="0" t="n">
        <v>5</v>
      </c>
      <c r="H595" s="0" t="n">
        <v>12</v>
      </c>
      <c r="I595" s="0" t="n">
        <v>12</v>
      </c>
      <c r="J595" s="0" t="n">
        <v>12</v>
      </c>
      <c r="K595" s="0" t="n">
        <v>0.7</v>
      </c>
      <c r="L595" s="1" t="n">
        <v>3696</v>
      </c>
      <c r="M595" s="0" t="n">
        <v>0</v>
      </c>
      <c r="N595" s="0" t="n">
        <v>3696</v>
      </c>
      <c r="O595" s="0" t="n">
        <v>34614</v>
      </c>
      <c r="P595" s="1" t="n">
        <v>22.3</v>
      </c>
      <c r="Q595" s="0" t="n">
        <v>0</v>
      </c>
      <c r="R595" s="0" t="n">
        <v>7</v>
      </c>
      <c r="S595" s="0" t="s">
        <v>42</v>
      </c>
      <c r="T595" s="0" t="str">
        <f aca="false">IF(L595="inf","False","True")</f>
        <v>True</v>
      </c>
      <c r="U595" s="0" t="str">
        <f aca="false">IF(V595="inf","False","True")</f>
        <v>True</v>
      </c>
      <c r="V595" s="4" t="n">
        <v>119774.68</v>
      </c>
      <c r="W595" s="4" t="n">
        <v>29371.4</v>
      </c>
      <c r="X595" s="0" t="n">
        <v>37.55</v>
      </c>
      <c r="Y595" s="5" t="n">
        <f aca="false">V595-L595</f>
        <v>116078.68</v>
      </c>
      <c r="Z595" s="6" t="n">
        <f aca="false">Y595/L595</f>
        <v>31.4065692640693</v>
      </c>
      <c r="AA595" s="3" t="n">
        <f aca="false">X595-P595</f>
        <v>15.25</v>
      </c>
      <c r="AB595" s="6" t="n">
        <f aca="false">AA595/P595</f>
        <v>0.683856502242152</v>
      </c>
    </row>
    <row r="596" customFormat="false" ht="12.75" hidden="false" customHeight="false" outlineLevel="0" collapsed="false">
      <c r="A596" s="0" t="s">
        <v>692</v>
      </c>
      <c r="B596" s="0" t="n">
        <v>4</v>
      </c>
      <c r="C596" s="0" t="s">
        <v>31</v>
      </c>
      <c r="D596" s="0" t="s">
        <v>31</v>
      </c>
      <c r="E596" s="0" t="n">
        <v>583</v>
      </c>
      <c r="F596" s="0" t="n">
        <v>3804</v>
      </c>
      <c r="G596" s="0" t="n">
        <v>5</v>
      </c>
      <c r="H596" s="0" t="n">
        <v>12</v>
      </c>
      <c r="I596" s="0" t="n">
        <v>12</v>
      </c>
      <c r="J596" s="0" t="n">
        <v>12</v>
      </c>
      <c r="K596" s="0" t="n">
        <v>0.7</v>
      </c>
      <c r="L596" s="1" t="n">
        <v>3804</v>
      </c>
      <c r="M596" s="0" t="n">
        <v>0</v>
      </c>
      <c r="N596" s="0" t="n">
        <v>3804</v>
      </c>
      <c r="O596" s="0" t="n">
        <v>33388</v>
      </c>
      <c r="P596" s="1" t="n">
        <v>9.98</v>
      </c>
      <c r="Q596" s="0" t="n">
        <v>0</v>
      </c>
      <c r="R596" s="0" t="n">
        <v>1</v>
      </c>
      <c r="S596" s="0" t="s">
        <v>42</v>
      </c>
      <c r="T596" s="0" t="str">
        <f aca="false">IF(L596="inf","False","True")</f>
        <v>True</v>
      </c>
      <c r="U596" s="0" t="str">
        <f aca="false">IF(V596="inf","False","True")</f>
        <v>False</v>
      </c>
      <c r="V596" s="4" t="s">
        <v>37</v>
      </c>
      <c r="W596" s="4" t="s">
        <v>37</v>
      </c>
      <c r="X596" s="0" t="n">
        <v>25.55</v>
      </c>
      <c r="Y596" s="5" t="e">
        <f aca="false">V596-L596</f>
        <v>#VALUE!</v>
      </c>
      <c r="Z596" s="6" t="e">
        <f aca="false">Y596/L596</f>
        <v>#VALUE!</v>
      </c>
      <c r="AA596" s="3" t="n">
        <f aca="false">X596-P596</f>
        <v>15.57</v>
      </c>
      <c r="AB596" s="6" t="n">
        <f aca="false">AA596/P596</f>
        <v>1.56012024048096</v>
      </c>
    </row>
    <row r="597" customFormat="false" ht="12.75" hidden="false" customHeight="false" outlineLevel="0" collapsed="false">
      <c r="A597" s="0" t="s">
        <v>693</v>
      </c>
      <c r="B597" s="0" t="n">
        <v>0</v>
      </c>
      <c r="C597" s="0" t="s">
        <v>31</v>
      </c>
      <c r="D597" s="0" t="s">
        <v>31</v>
      </c>
      <c r="E597" s="0" t="n">
        <v>833</v>
      </c>
      <c r="F597" s="0" t="n">
        <v>5087</v>
      </c>
      <c r="G597" s="0" t="n">
        <v>5</v>
      </c>
      <c r="H597" s="0" t="n">
        <v>12</v>
      </c>
      <c r="I597" s="0" t="n">
        <v>12</v>
      </c>
      <c r="J597" s="0" t="n">
        <v>12</v>
      </c>
      <c r="K597" s="0" t="n">
        <v>0.7</v>
      </c>
      <c r="L597" s="1" t="n">
        <v>62793.32</v>
      </c>
      <c r="M597" s="0" t="n">
        <v>57796.39</v>
      </c>
      <c r="N597" s="0" t="n">
        <v>4996.93</v>
      </c>
      <c r="O597" s="0" t="n">
        <v>46345.83</v>
      </c>
      <c r="P597" s="1" t="n">
        <v>558.11</v>
      </c>
      <c r="Q597" s="0" t="n">
        <v>0</v>
      </c>
      <c r="R597" s="0" t="n">
        <v>8</v>
      </c>
      <c r="S597" s="0" t="s">
        <v>694</v>
      </c>
      <c r="T597" s="0" t="str">
        <f aca="false">IF(L597="inf","False","True")</f>
        <v>True</v>
      </c>
      <c r="U597" s="0" t="str">
        <f aca="false">IF(V597="inf","False","True")</f>
        <v>True</v>
      </c>
      <c r="V597" s="4" t="n">
        <v>193685.61</v>
      </c>
      <c r="W597" s="4" t="n">
        <v>44614.33</v>
      </c>
      <c r="X597" s="0" t="n">
        <v>5.92</v>
      </c>
      <c r="Y597" s="5" t="n">
        <f aca="false">V597-L597</f>
        <v>130892.29</v>
      </c>
      <c r="Z597" s="6" t="n">
        <f aca="false">Y597/L597</f>
        <v>2.08449386017494</v>
      </c>
      <c r="AA597" s="3" t="n">
        <f aca="false">X597-P597</f>
        <v>-552.19</v>
      </c>
      <c r="AB597" s="6" t="n">
        <f aca="false">AA597/P597</f>
        <v>-0.989392772034187</v>
      </c>
    </row>
    <row r="598" customFormat="false" ht="12.75" hidden="false" customHeight="false" outlineLevel="0" collapsed="false">
      <c r="A598" s="0" t="s">
        <v>695</v>
      </c>
      <c r="B598" s="0" t="n">
        <v>1</v>
      </c>
      <c r="C598" s="0" t="s">
        <v>31</v>
      </c>
      <c r="D598" s="0" t="s">
        <v>31</v>
      </c>
      <c r="E598" s="0" t="n">
        <v>833</v>
      </c>
      <c r="F598" s="0" t="n">
        <v>5361</v>
      </c>
      <c r="G598" s="0" t="n">
        <v>5</v>
      </c>
      <c r="H598" s="0" t="n">
        <v>12</v>
      </c>
      <c r="I598" s="0" t="n">
        <v>12</v>
      </c>
      <c r="J598" s="0" t="n">
        <v>12</v>
      </c>
      <c r="K598" s="0" t="n">
        <v>0.7</v>
      </c>
      <c r="L598" s="1" t="n">
        <v>5361</v>
      </c>
      <c r="M598" s="0" t="n">
        <v>0</v>
      </c>
      <c r="N598" s="0" t="n">
        <v>5361</v>
      </c>
      <c r="O598" s="0" t="n">
        <v>47745</v>
      </c>
      <c r="P598" s="1" t="n">
        <v>16.07</v>
      </c>
      <c r="Q598" s="0" t="n">
        <v>0</v>
      </c>
      <c r="R598" s="0" t="n">
        <v>1</v>
      </c>
      <c r="S598" s="0" t="s">
        <v>42</v>
      </c>
      <c r="T598" s="0" t="str">
        <f aca="false">IF(L598="inf","False","True")</f>
        <v>True</v>
      </c>
      <c r="U598" s="0" t="str">
        <f aca="false">IF(V598="inf","False","True")</f>
        <v>True</v>
      </c>
      <c r="V598" s="4" t="n">
        <v>118833.66</v>
      </c>
      <c r="W598" s="4" t="n">
        <v>43071.2</v>
      </c>
      <c r="X598" s="0" t="n">
        <v>251.56</v>
      </c>
      <c r="Y598" s="5" t="n">
        <f aca="false">V598-L598</f>
        <v>113472.66</v>
      </c>
      <c r="Z598" s="6" t="n">
        <f aca="false">Y598/L598</f>
        <v>21.1663234471181</v>
      </c>
      <c r="AA598" s="3" t="n">
        <f aca="false">X598-P598</f>
        <v>235.49</v>
      </c>
      <c r="AB598" s="6" t="n">
        <f aca="false">AA598/P598</f>
        <v>14.6540136901058</v>
      </c>
    </row>
    <row r="599" customFormat="false" ht="12.75" hidden="false" customHeight="false" outlineLevel="0" collapsed="false">
      <c r="A599" s="0" t="s">
        <v>696</v>
      </c>
      <c r="B599" s="0" t="n">
        <v>2</v>
      </c>
      <c r="C599" s="0" t="s">
        <v>31</v>
      </c>
      <c r="D599" s="0" t="s">
        <v>31</v>
      </c>
      <c r="E599" s="0" t="n">
        <v>833</v>
      </c>
      <c r="F599" s="0" t="n">
        <v>5160</v>
      </c>
      <c r="G599" s="0" t="n">
        <v>5</v>
      </c>
      <c r="H599" s="0" t="n">
        <v>12</v>
      </c>
      <c r="I599" s="0" t="n">
        <v>12</v>
      </c>
      <c r="J599" s="0" t="n">
        <v>12</v>
      </c>
      <c r="K599" s="0" t="n">
        <v>0.7</v>
      </c>
      <c r="L599" s="1" t="n">
        <v>66505.32</v>
      </c>
      <c r="M599" s="0" t="n">
        <v>61458.78</v>
      </c>
      <c r="N599" s="0" t="n">
        <v>5046.53</v>
      </c>
      <c r="O599" s="0" t="n">
        <v>45382.9</v>
      </c>
      <c r="P599" s="1" t="n">
        <v>204.29</v>
      </c>
      <c r="Q599" s="0" t="n">
        <v>0.01</v>
      </c>
      <c r="R599" s="0" t="n">
        <v>1</v>
      </c>
      <c r="S599" s="0" t="s">
        <v>42</v>
      </c>
      <c r="T599" s="0" t="str">
        <f aca="false">IF(L599="inf","False","True")</f>
        <v>True</v>
      </c>
      <c r="U599" s="0" t="str">
        <f aca="false">IF(V599="inf","False","True")</f>
        <v>True</v>
      </c>
      <c r="V599" s="4" t="n">
        <v>161792.91</v>
      </c>
      <c r="W599" s="4" t="n">
        <v>44296.49</v>
      </c>
      <c r="X599" s="0" t="n">
        <v>225.22</v>
      </c>
      <c r="Y599" s="5" t="n">
        <f aca="false">V599-L599</f>
        <v>95287.59</v>
      </c>
      <c r="Z599" s="6" t="n">
        <f aca="false">Y599/L599</f>
        <v>1.43278146770815</v>
      </c>
      <c r="AA599" s="3" t="n">
        <f aca="false">X599-P599</f>
        <v>20.93</v>
      </c>
      <c r="AB599" s="6" t="n">
        <f aca="false">AA599/P599</f>
        <v>0.102452396103578</v>
      </c>
    </row>
    <row r="600" customFormat="false" ht="12.75" hidden="false" customHeight="false" outlineLevel="0" collapsed="false">
      <c r="A600" s="0" t="s">
        <v>697</v>
      </c>
      <c r="B600" s="0" t="n">
        <v>3</v>
      </c>
      <c r="C600" s="0" t="s">
        <v>31</v>
      </c>
      <c r="D600" s="0" t="s">
        <v>31</v>
      </c>
      <c r="E600" s="0" t="n">
        <v>833</v>
      </c>
      <c r="F600" s="0" t="n">
        <v>5284</v>
      </c>
      <c r="G600" s="0" t="n">
        <v>5</v>
      </c>
      <c r="H600" s="0" t="n">
        <v>12</v>
      </c>
      <c r="I600" s="0" t="n">
        <v>12</v>
      </c>
      <c r="J600" s="0" t="n">
        <v>12</v>
      </c>
      <c r="K600" s="0" t="n">
        <v>0.7</v>
      </c>
      <c r="L600" s="1" t="n">
        <v>5284</v>
      </c>
      <c r="M600" s="0" t="n">
        <v>0</v>
      </c>
      <c r="N600" s="0" t="n">
        <v>5284</v>
      </c>
      <c r="O600" s="0" t="n">
        <v>49402</v>
      </c>
      <c r="P600" s="1" t="n">
        <v>21.15</v>
      </c>
      <c r="Q600" s="0" t="n">
        <v>0</v>
      </c>
      <c r="R600" s="0" t="n">
        <v>5</v>
      </c>
      <c r="S600" s="0" t="s">
        <v>42</v>
      </c>
      <c r="T600" s="0" t="str">
        <f aca="false">IF(L600="inf","False","True")</f>
        <v>True</v>
      </c>
      <c r="U600" s="0" t="str">
        <f aca="false">IF(V600="inf","False","True")</f>
        <v>True</v>
      </c>
      <c r="V600" s="4" t="n">
        <v>159842.34</v>
      </c>
      <c r="W600" s="4" t="n">
        <v>42849.43</v>
      </c>
      <c r="X600" s="0" t="n">
        <v>6.25</v>
      </c>
      <c r="Y600" s="5" t="n">
        <f aca="false">V600-L600</f>
        <v>154558.34</v>
      </c>
      <c r="Z600" s="6" t="n">
        <f aca="false">Y600/L600</f>
        <v>29.2502535957608</v>
      </c>
      <c r="AA600" s="3" t="n">
        <f aca="false">X600-P600</f>
        <v>-14.9</v>
      </c>
      <c r="AB600" s="6" t="n">
        <f aca="false">AA600/P600</f>
        <v>-0.704491725768322</v>
      </c>
    </row>
    <row r="601" customFormat="false" ht="12.75" hidden="false" customHeight="false" outlineLevel="0" collapsed="false">
      <c r="A601" s="0" t="s">
        <v>698</v>
      </c>
      <c r="B601" s="0" t="n">
        <v>4</v>
      </c>
      <c r="C601" s="0" t="s">
        <v>31</v>
      </c>
      <c r="D601" s="0" t="s">
        <v>31</v>
      </c>
      <c r="E601" s="0" t="n">
        <v>833</v>
      </c>
      <c r="F601" s="0" t="n">
        <v>5438</v>
      </c>
      <c r="G601" s="0" t="n">
        <v>5</v>
      </c>
      <c r="H601" s="0" t="n">
        <v>12</v>
      </c>
      <c r="I601" s="0" t="n">
        <v>12</v>
      </c>
      <c r="J601" s="0" t="n">
        <v>12</v>
      </c>
      <c r="K601" s="0" t="n">
        <v>0.7</v>
      </c>
      <c r="L601" s="1" t="n">
        <v>5438</v>
      </c>
      <c r="M601" s="0" t="n">
        <v>0</v>
      </c>
      <c r="N601" s="0" t="n">
        <v>5438</v>
      </c>
      <c r="O601" s="0" t="n">
        <v>47656</v>
      </c>
      <c r="P601" s="1" t="n">
        <v>11.88</v>
      </c>
      <c r="Q601" s="0" t="n">
        <v>0</v>
      </c>
      <c r="R601" s="0" t="n">
        <v>1</v>
      </c>
      <c r="S601" s="0" t="s">
        <v>42</v>
      </c>
      <c r="T601" s="0" t="str">
        <f aca="false">IF(L601="inf","False","True")</f>
        <v>True</v>
      </c>
      <c r="U601" s="0" t="str">
        <f aca="false">IF(V601="inf","False","True")</f>
        <v>True</v>
      </c>
      <c r="V601" s="4" t="n">
        <v>132812.73</v>
      </c>
      <c r="W601" s="4" t="n">
        <v>43951.98</v>
      </c>
      <c r="X601" s="0" t="n">
        <v>0.67</v>
      </c>
      <c r="Y601" s="5" t="n">
        <f aca="false">V601-L601</f>
        <v>127374.73</v>
      </c>
      <c r="Z601" s="6" t="n">
        <f aca="false">Y601/L601</f>
        <v>23.4230838543582</v>
      </c>
      <c r="AA601" s="3" t="n">
        <f aca="false">X601-P601</f>
        <v>-11.21</v>
      </c>
      <c r="AB601" s="6" t="n">
        <f aca="false">AA601/P601</f>
        <v>-0.943602693602694</v>
      </c>
    </row>
    <row r="602" customFormat="false" ht="12.75" hidden="false" customHeight="false" outlineLevel="0" collapsed="false">
      <c r="A602" s="0" t="s">
        <v>699</v>
      </c>
      <c r="B602" s="0" t="n">
        <v>0</v>
      </c>
      <c r="C602" s="0" t="s">
        <v>31</v>
      </c>
      <c r="D602" s="0" t="s">
        <v>31</v>
      </c>
      <c r="E602" s="0" t="n">
        <v>250</v>
      </c>
      <c r="F602" s="0" t="n">
        <v>607</v>
      </c>
      <c r="G602" s="0" t="n">
        <v>10</v>
      </c>
      <c r="H602" s="0" t="n">
        <v>12</v>
      </c>
      <c r="I602" s="0" t="n">
        <v>12</v>
      </c>
      <c r="J602" s="0" t="n">
        <v>4</v>
      </c>
      <c r="K602" s="0" t="n">
        <v>0.7</v>
      </c>
      <c r="L602" s="1" t="n">
        <v>73396.71</v>
      </c>
      <c r="M602" s="0" t="n">
        <v>72812.43</v>
      </c>
      <c r="N602" s="0" t="n">
        <v>584.28</v>
      </c>
      <c r="O602" s="0" t="n">
        <v>28665.87</v>
      </c>
      <c r="P602" s="1" t="n">
        <v>139.84</v>
      </c>
      <c r="Q602" s="0" t="n">
        <v>0</v>
      </c>
      <c r="R602" s="0" t="n">
        <v>9</v>
      </c>
      <c r="S602" s="0" t="s">
        <v>32</v>
      </c>
      <c r="T602" s="0" t="str">
        <f aca="false">IF(L602="inf","False","True")</f>
        <v>True</v>
      </c>
      <c r="U602" s="0" t="str">
        <f aca="false">IF(V602="inf","False","True")</f>
        <v>False</v>
      </c>
      <c r="V602" s="4" t="s">
        <v>37</v>
      </c>
      <c r="W602" s="4" t="s">
        <v>37</v>
      </c>
      <c r="X602" s="0" t="n">
        <v>30.49</v>
      </c>
      <c r="Y602" s="5" t="e">
        <f aca="false">V602-L602</f>
        <v>#VALUE!</v>
      </c>
      <c r="Z602" s="6" t="e">
        <f aca="false">Y602/L602</f>
        <v>#VALUE!</v>
      </c>
      <c r="AA602" s="3" t="n">
        <f aca="false">X602-P602</f>
        <v>-109.35</v>
      </c>
      <c r="AB602" s="6" t="n">
        <f aca="false">AA602/P602</f>
        <v>-0.781965102974829</v>
      </c>
    </row>
    <row r="603" customFormat="false" ht="12.75" hidden="false" customHeight="false" outlineLevel="0" collapsed="false">
      <c r="A603" s="0" t="s">
        <v>700</v>
      </c>
      <c r="B603" s="0" t="n">
        <v>1</v>
      </c>
      <c r="C603" s="0" t="s">
        <v>31</v>
      </c>
      <c r="D603" s="0" t="s">
        <v>31</v>
      </c>
      <c r="E603" s="0" t="n">
        <v>250</v>
      </c>
      <c r="F603" s="0" t="n">
        <v>661</v>
      </c>
      <c r="G603" s="0" t="n">
        <v>10</v>
      </c>
      <c r="H603" s="0" t="n">
        <v>12</v>
      </c>
      <c r="I603" s="0" t="n">
        <v>12</v>
      </c>
      <c r="J603" s="0" t="n">
        <v>4</v>
      </c>
      <c r="K603" s="0" t="n">
        <v>0.7</v>
      </c>
      <c r="L603" s="1" t="n">
        <v>98242.73</v>
      </c>
      <c r="M603" s="0" t="n">
        <v>97620.94</v>
      </c>
      <c r="N603" s="0" t="n">
        <v>621.79</v>
      </c>
      <c r="O603" s="0" t="n">
        <v>29690.24</v>
      </c>
      <c r="P603" s="1" t="n">
        <v>259.79</v>
      </c>
      <c r="Q603" s="0" t="n">
        <v>0</v>
      </c>
      <c r="R603" s="0" t="n">
        <v>11</v>
      </c>
      <c r="S603" s="0" t="s">
        <v>32</v>
      </c>
      <c r="T603" s="0" t="str">
        <f aca="false">IF(L603="inf","False","True")</f>
        <v>True</v>
      </c>
      <c r="U603" s="0" t="str">
        <f aca="false">IF(V603="inf","False","True")</f>
        <v>False</v>
      </c>
      <c r="V603" s="4" t="s">
        <v>37</v>
      </c>
      <c r="W603" s="4" t="s">
        <v>37</v>
      </c>
      <c r="X603" s="0" t="n">
        <v>28.27</v>
      </c>
      <c r="Y603" s="5" t="e">
        <f aca="false">V603-L603</f>
        <v>#VALUE!</v>
      </c>
      <c r="Z603" s="6" t="e">
        <f aca="false">Y603/L603</f>
        <v>#VALUE!</v>
      </c>
      <c r="AA603" s="3" t="n">
        <f aca="false">X603-P603</f>
        <v>-231.52</v>
      </c>
      <c r="AB603" s="6" t="n">
        <f aca="false">AA603/P603</f>
        <v>-0.891181338773625</v>
      </c>
    </row>
    <row r="604" customFormat="false" ht="12.75" hidden="false" customHeight="false" outlineLevel="0" collapsed="false">
      <c r="A604" s="0" t="s">
        <v>701</v>
      </c>
      <c r="B604" s="0" t="n">
        <v>2</v>
      </c>
      <c r="C604" s="0" t="s">
        <v>31</v>
      </c>
      <c r="D604" s="0" t="s">
        <v>31</v>
      </c>
      <c r="E604" s="0" t="n">
        <v>250</v>
      </c>
      <c r="F604" s="0" t="n">
        <v>614</v>
      </c>
      <c r="G604" s="0" t="n">
        <v>10</v>
      </c>
      <c r="H604" s="0" t="n">
        <v>12</v>
      </c>
      <c r="I604" s="0" t="n">
        <v>12</v>
      </c>
      <c r="J604" s="0" t="n">
        <v>4</v>
      </c>
      <c r="K604" s="0" t="n">
        <v>0.7</v>
      </c>
      <c r="L604" s="1" t="n">
        <v>115814.69</v>
      </c>
      <c r="M604" s="0" t="n">
        <v>115223.82</v>
      </c>
      <c r="N604" s="0" t="n">
        <v>590.88</v>
      </c>
      <c r="O604" s="0" t="n">
        <v>27349.69</v>
      </c>
      <c r="P604" s="1" t="n">
        <v>51.98</v>
      </c>
      <c r="Q604" s="0" t="n">
        <v>0</v>
      </c>
      <c r="R604" s="0" t="n">
        <v>2</v>
      </c>
      <c r="S604" s="0" t="s">
        <v>32</v>
      </c>
      <c r="T604" s="0" t="str">
        <f aca="false">IF(L604="inf","False","True")</f>
        <v>True</v>
      </c>
      <c r="U604" s="0" t="str">
        <f aca="false">IF(V604="inf","False","True")</f>
        <v>False</v>
      </c>
      <c r="V604" s="4" t="s">
        <v>37</v>
      </c>
      <c r="W604" s="4" t="s">
        <v>37</v>
      </c>
      <c r="X604" s="0" t="n">
        <v>29.8</v>
      </c>
      <c r="Y604" s="5" t="e">
        <f aca="false">V604-L604</f>
        <v>#VALUE!</v>
      </c>
      <c r="Z604" s="6" t="e">
        <f aca="false">Y604/L604</f>
        <v>#VALUE!</v>
      </c>
      <c r="AA604" s="3" t="n">
        <f aca="false">X604-P604</f>
        <v>-22.18</v>
      </c>
      <c r="AB604" s="6" t="n">
        <f aca="false">AA604/P604</f>
        <v>-0.426702577914583</v>
      </c>
    </row>
    <row r="605" customFormat="false" ht="12.75" hidden="false" customHeight="false" outlineLevel="0" collapsed="false">
      <c r="A605" s="0" t="s">
        <v>702</v>
      </c>
      <c r="B605" s="0" t="n">
        <v>3</v>
      </c>
      <c r="C605" s="0" t="s">
        <v>31</v>
      </c>
      <c r="D605" s="0" t="s">
        <v>31</v>
      </c>
      <c r="E605" s="0" t="n">
        <v>250</v>
      </c>
      <c r="F605" s="0" t="n">
        <v>608</v>
      </c>
      <c r="G605" s="0" t="n">
        <v>10</v>
      </c>
      <c r="H605" s="0" t="n">
        <v>12</v>
      </c>
      <c r="I605" s="0" t="n">
        <v>12</v>
      </c>
      <c r="J605" s="0" t="n">
        <v>4</v>
      </c>
      <c r="K605" s="0" t="n">
        <v>0.7</v>
      </c>
      <c r="L605" s="1" t="n">
        <v>59018.48</v>
      </c>
      <c r="M605" s="0" t="n">
        <v>58455.7</v>
      </c>
      <c r="N605" s="0" t="n">
        <v>562.77</v>
      </c>
      <c r="O605" s="0" t="n">
        <v>27218.29</v>
      </c>
      <c r="P605" s="1" t="n">
        <v>214.96</v>
      </c>
      <c r="Q605" s="0" t="n">
        <v>0</v>
      </c>
      <c r="R605" s="0" t="n">
        <v>10</v>
      </c>
      <c r="S605" s="0" t="s">
        <v>32</v>
      </c>
      <c r="T605" s="0" t="str">
        <f aca="false">IF(L605="inf","False","True")</f>
        <v>True</v>
      </c>
      <c r="U605" s="0" t="str">
        <f aca="false">IF(V605="inf","False","True")</f>
        <v>False</v>
      </c>
      <c r="V605" s="4" t="s">
        <v>37</v>
      </c>
      <c r="W605" s="4" t="s">
        <v>37</v>
      </c>
      <c r="X605" s="0" t="n">
        <v>34.49</v>
      </c>
      <c r="Y605" s="5" t="e">
        <f aca="false">V605-L605</f>
        <v>#VALUE!</v>
      </c>
      <c r="Z605" s="6" t="e">
        <f aca="false">Y605/L605</f>
        <v>#VALUE!</v>
      </c>
      <c r="AA605" s="3" t="n">
        <f aca="false">X605-P605</f>
        <v>-180.47</v>
      </c>
      <c r="AB605" s="6" t="n">
        <f aca="false">AA605/P605</f>
        <v>-0.83955154447339</v>
      </c>
    </row>
    <row r="606" customFormat="false" ht="12.75" hidden="false" customHeight="false" outlineLevel="0" collapsed="false">
      <c r="A606" s="0" t="s">
        <v>703</v>
      </c>
      <c r="B606" s="0" t="n">
        <v>4</v>
      </c>
      <c r="C606" s="0" t="s">
        <v>31</v>
      </c>
      <c r="D606" s="0" t="s">
        <v>31</v>
      </c>
      <c r="E606" s="0" t="n">
        <v>250</v>
      </c>
      <c r="F606" s="0" t="n">
        <v>665</v>
      </c>
      <c r="G606" s="0" t="n">
        <v>10</v>
      </c>
      <c r="H606" s="0" t="n">
        <v>12</v>
      </c>
      <c r="I606" s="0" t="n">
        <v>12</v>
      </c>
      <c r="J606" s="0" t="n">
        <v>4</v>
      </c>
      <c r="K606" s="0" t="n">
        <v>0.7</v>
      </c>
      <c r="L606" s="1" t="n">
        <v>58399.85</v>
      </c>
      <c r="M606" s="0" t="n">
        <v>57780.34</v>
      </c>
      <c r="N606" s="0" t="n">
        <v>619.51</v>
      </c>
      <c r="O606" s="0" t="n">
        <v>27148.71</v>
      </c>
      <c r="P606" s="1" t="n">
        <v>263.07</v>
      </c>
      <c r="Q606" s="0" t="n">
        <v>0</v>
      </c>
      <c r="R606" s="0" t="n">
        <v>21</v>
      </c>
      <c r="S606" s="0" t="s">
        <v>32</v>
      </c>
      <c r="T606" s="0" t="str">
        <f aca="false">IF(L606="inf","False","True")</f>
        <v>True</v>
      </c>
      <c r="U606" s="0" t="str">
        <f aca="false">IF(V606="inf","False","True")</f>
        <v>True</v>
      </c>
      <c r="V606" s="4" t="n">
        <v>37901.49</v>
      </c>
      <c r="W606" s="4" t="n">
        <v>27333.81</v>
      </c>
      <c r="X606" s="0" t="n">
        <v>27.88</v>
      </c>
      <c r="Y606" s="5" t="n">
        <f aca="false">V606-L606</f>
        <v>-20498.36</v>
      </c>
      <c r="Z606" s="6" t="n">
        <f aca="false">Y606/L606</f>
        <v>-0.351000216610145</v>
      </c>
      <c r="AA606" s="3" t="n">
        <f aca="false">X606-P606</f>
        <v>-235.19</v>
      </c>
      <c r="AB606" s="6" t="n">
        <f aca="false">AA606/P606</f>
        <v>-0.894020602881362</v>
      </c>
    </row>
    <row r="607" customFormat="false" ht="12.75" hidden="false" customHeight="false" outlineLevel="0" collapsed="false">
      <c r="A607" s="0" t="s">
        <v>704</v>
      </c>
      <c r="B607" s="0" t="n">
        <v>0</v>
      </c>
      <c r="C607" s="0" t="s">
        <v>31</v>
      </c>
      <c r="D607" s="0" t="s">
        <v>31</v>
      </c>
      <c r="E607" s="0" t="n">
        <v>416</v>
      </c>
      <c r="F607" s="0" t="n">
        <v>1014</v>
      </c>
      <c r="G607" s="0" t="n">
        <v>10</v>
      </c>
      <c r="H607" s="0" t="n">
        <v>12</v>
      </c>
      <c r="I607" s="0" t="n">
        <v>12</v>
      </c>
      <c r="J607" s="0" t="n">
        <v>4</v>
      </c>
      <c r="K607" s="0" t="n">
        <v>0.7</v>
      </c>
      <c r="L607" s="1" t="n">
        <v>30810.81</v>
      </c>
      <c r="M607" s="0" t="n">
        <v>29814.03</v>
      </c>
      <c r="N607" s="0" t="n">
        <v>996.78</v>
      </c>
      <c r="O607" s="0" t="n">
        <v>49106.95</v>
      </c>
      <c r="P607" s="1" t="n">
        <v>45.84</v>
      </c>
      <c r="Q607" s="0" t="n">
        <v>0</v>
      </c>
      <c r="R607" s="0" t="n">
        <v>2</v>
      </c>
      <c r="S607" s="0" t="s">
        <v>705</v>
      </c>
      <c r="T607" s="0" t="str">
        <f aca="false">IF(L607="inf","False","True")</f>
        <v>True</v>
      </c>
      <c r="U607" s="0" t="str">
        <f aca="false">IF(V607="inf","False","True")</f>
        <v>False</v>
      </c>
      <c r="V607" s="4" t="s">
        <v>37</v>
      </c>
      <c r="W607" s="4" t="s">
        <v>37</v>
      </c>
      <c r="X607" s="0" t="n">
        <v>32.35</v>
      </c>
      <c r="Y607" s="5" t="e">
        <f aca="false">V607-L607</f>
        <v>#VALUE!</v>
      </c>
      <c r="Z607" s="6" t="e">
        <f aca="false">Y607/L607</f>
        <v>#VALUE!</v>
      </c>
      <c r="AA607" s="3" t="n">
        <f aca="false">X607-P607</f>
        <v>-13.49</v>
      </c>
      <c r="AB607" s="6" t="n">
        <f aca="false">AA607/P607</f>
        <v>-0.294284467713787</v>
      </c>
    </row>
    <row r="608" customFormat="false" ht="12.75" hidden="false" customHeight="false" outlineLevel="0" collapsed="false">
      <c r="A608" s="0" t="s">
        <v>706</v>
      </c>
      <c r="B608" s="0" t="n">
        <v>1</v>
      </c>
      <c r="C608" s="0" t="s">
        <v>31</v>
      </c>
      <c r="D608" s="0" t="s">
        <v>31</v>
      </c>
      <c r="E608" s="0" t="n">
        <v>416</v>
      </c>
      <c r="F608" s="0" t="n">
        <v>1103</v>
      </c>
      <c r="G608" s="0" t="n">
        <v>10</v>
      </c>
      <c r="H608" s="0" t="n">
        <v>12</v>
      </c>
      <c r="I608" s="0" t="n">
        <v>12</v>
      </c>
      <c r="J608" s="0" t="n">
        <v>4</v>
      </c>
      <c r="K608" s="0" t="n">
        <v>0.7</v>
      </c>
      <c r="L608" s="1" t="n">
        <v>159387.17</v>
      </c>
      <c r="M608" s="0" t="n">
        <v>158338.9</v>
      </c>
      <c r="N608" s="0" t="n">
        <v>1048.27</v>
      </c>
      <c r="O608" s="0" t="n">
        <v>52216.81</v>
      </c>
      <c r="P608" s="1" t="n">
        <v>200.9</v>
      </c>
      <c r="Q608" s="0" t="n">
        <v>0</v>
      </c>
      <c r="R608" s="0" t="n">
        <v>12</v>
      </c>
      <c r="S608" s="0" t="s">
        <v>32</v>
      </c>
      <c r="T608" s="0" t="str">
        <f aca="false">IF(L608="inf","False","True")</f>
        <v>True</v>
      </c>
      <c r="U608" s="0" t="str">
        <f aca="false">IF(V608="inf","False","True")</f>
        <v>False</v>
      </c>
      <c r="V608" s="4" t="s">
        <v>37</v>
      </c>
      <c r="W608" s="4" t="s">
        <v>37</v>
      </c>
      <c r="X608" s="0" t="n">
        <v>29.38</v>
      </c>
      <c r="Y608" s="5" t="e">
        <f aca="false">V608-L608</f>
        <v>#VALUE!</v>
      </c>
      <c r="Z608" s="6" t="e">
        <f aca="false">Y608/L608</f>
        <v>#VALUE!</v>
      </c>
      <c r="AA608" s="3" t="n">
        <f aca="false">X608-P608</f>
        <v>-171.52</v>
      </c>
      <c r="AB608" s="6" t="n">
        <f aca="false">AA608/P608</f>
        <v>-0.853758088601294</v>
      </c>
    </row>
    <row r="609" customFormat="false" ht="12.75" hidden="false" customHeight="false" outlineLevel="0" collapsed="false">
      <c r="A609" s="0" t="s">
        <v>707</v>
      </c>
      <c r="B609" s="0" t="n">
        <v>2</v>
      </c>
      <c r="C609" s="0" t="s">
        <v>31</v>
      </c>
      <c r="D609" s="0" t="s">
        <v>31</v>
      </c>
      <c r="E609" s="0" t="n">
        <v>416</v>
      </c>
      <c r="F609" s="0" t="n">
        <v>1026</v>
      </c>
      <c r="G609" s="0" t="n">
        <v>10</v>
      </c>
      <c r="H609" s="0" t="n">
        <v>12</v>
      </c>
      <c r="I609" s="0" t="n">
        <v>12</v>
      </c>
      <c r="J609" s="0" t="n">
        <v>4</v>
      </c>
      <c r="K609" s="0" t="n">
        <v>0.7</v>
      </c>
      <c r="L609" s="1" t="n">
        <v>174685.65</v>
      </c>
      <c r="M609" s="0" t="n">
        <v>173705.61</v>
      </c>
      <c r="N609" s="0" t="n">
        <v>980.05</v>
      </c>
      <c r="O609" s="0" t="n">
        <v>46157.08</v>
      </c>
      <c r="P609" s="1" t="n">
        <v>98.78</v>
      </c>
      <c r="Q609" s="0" t="n">
        <v>0</v>
      </c>
      <c r="R609" s="0" t="n">
        <v>6</v>
      </c>
      <c r="S609" s="0" t="s">
        <v>32</v>
      </c>
      <c r="T609" s="0" t="str">
        <f aca="false">IF(L609="inf","False","True")</f>
        <v>True</v>
      </c>
      <c r="U609" s="0" t="str">
        <f aca="false">IF(V609="inf","False","True")</f>
        <v>False</v>
      </c>
      <c r="V609" s="4" t="s">
        <v>37</v>
      </c>
      <c r="W609" s="4" t="s">
        <v>37</v>
      </c>
      <c r="X609" s="0" t="n">
        <v>28.39</v>
      </c>
      <c r="Y609" s="5" t="e">
        <f aca="false">V609-L609</f>
        <v>#VALUE!</v>
      </c>
      <c r="Z609" s="6" t="e">
        <f aca="false">Y609/L609</f>
        <v>#VALUE!</v>
      </c>
      <c r="AA609" s="3" t="n">
        <f aca="false">X609-P609</f>
        <v>-70.39</v>
      </c>
      <c r="AB609" s="6" t="n">
        <f aca="false">AA609/P609</f>
        <v>-0.712593642437741</v>
      </c>
    </row>
    <row r="610" customFormat="false" ht="12.75" hidden="false" customHeight="false" outlineLevel="0" collapsed="false">
      <c r="A610" s="0" t="s">
        <v>708</v>
      </c>
      <c r="B610" s="0" t="n">
        <v>3</v>
      </c>
      <c r="C610" s="0" t="s">
        <v>31</v>
      </c>
      <c r="D610" s="0" t="s">
        <v>31</v>
      </c>
      <c r="E610" s="0" t="n">
        <v>416</v>
      </c>
      <c r="F610" s="0" t="n">
        <v>1014</v>
      </c>
      <c r="G610" s="0" t="n">
        <v>10</v>
      </c>
      <c r="H610" s="0" t="n">
        <v>12</v>
      </c>
      <c r="I610" s="0" t="n">
        <v>12</v>
      </c>
      <c r="J610" s="0" t="n">
        <v>4</v>
      </c>
      <c r="K610" s="0" t="n">
        <v>0.7</v>
      </c>
      <c r="L610" s="1" t="n">
        <v>99928.92</v>
      </c>
      <c r="M610" s="0" t="n">
        <v>98973.74</v>
      </c>
      <c r="N610" s="0" t="n">
        <v>955.17</v>
      </c>
      <c r="O610" s="0" t="n">
        <v>44517.54</v>
      </c>
      <c r="P610" s="1" t="n">
        <v>339.38</v>
      </c>
      <c r="Q610" s="0" t="n">
        <v>0</v>
      </c>
      <c r="R610" s="0" t="n">
        <v>21</v>
      </c>
      <c r="S610" s="0" t="s">
        <v>32</v>
      </c>
      <c r="T610" s="0" t="str">
        <f aca="false">IF(L610="inf","False","True")</f>
        <v>True</v>
      </c>
      <c r="U610" s="0" t="str">
        <f aca="false">IF(V610="inf","False","True")</f>
        <v>False</v>
      </c>
      <c r="V610" s="4" t="s">
        <v>37</v>
      </c>
      <c r="W610" s="4" t="s">
        <v>37</v>
      </c>
      <c r="X610" s="0" t="n">
        <v>42.87</v>
      </c>
      <c r="Y610" s="5" t="e">
        <f aca="false">V610-L610</f>
        <v>#VALUE!</v>
      </c>
      <c r="Z610" s="6" t="e">
        <f aca="false">Y610/L610</f>
        <v>#VALUE!</v>
      </c>
      <c r="AA610" s="3" t="n">
        <f aca="false">X610-P610</f>
        <v>-296.51</v>
      </c>
      <c r="AB610" s="6" t="n">
        <f aca="false">AA610/P610</f>
        <v>-0.873681419058283</v>
      </c>
    </row>
    <row r="611" customFormat="false" ht="12.75" hidden="false" customHeight="false" outlineLevel="0" collapsed="false">
      <c r="A611" s="0" t="s">
        <v>709</v>
      </c>
      <c r="B611" s="0" t="n">
        <v>4</v>
      </c>
      <c r="C611" s="0" t="s">
        <v>31</v>
      </c>
      <c r="D611" s="0" t="s">
        <v>31</v>
      </c>
      <c r="E611" s="0" t="n">
        <v>416</v>
      </c>
      <c r="F611" s="0" t="n">
        <v>1110</v>
      </c>
      <c r="G611" s="0" t="n">
        <v>10</v>
      </c>
      <c r="H611" s="0" t="n">
        <v>12</v>
      </c>
      <c r="I611" s="0" t="n">
        <v>12</v>
      </c>
      <c r="J611" s="0" t="n">
        <v>4</v>
      </c>
      <c r="K611" s="0" t="n">
        <v>0.7</v>
      </c>
      <c r="L611" s="1" t="n">
        <v>89160.27</v>
      </c>
      <c r="M611" s="0" t="n">
        <v>88099.87</v>
      </c>
      <c r="N611" s="0" t="n">
        <v>1060.4</v>
      </c>
      <c r="O611" s="0" t="n">
        <v>45183.83</v>
      </c>
      <c r="P611" s="1" t="n">
        <v>132.55</v>
      </c>
      <c r="Q611" s="0" t="n">
        <v>0</v>
      </c>
      <c r="R611" s="0" t="n">
        <v>6</v>
      </c>
      <c r="S611" s="0" t="s">
        <v>32</v>
      </c>
      <c r="T611" s="0" t="str">
        <f aca="false">IF(L611="inf","False","True")</f>
        <v>True</v>
      </c>
      <c r="U611" s="0" t="str">
        <f aca="false">IF(V611="inf","False","True")</f>
        <v>True</v>
      </c>
      <c r="V611" s="4" t="n">
        <v>122252.58</v>
      </c>
      <c r="W611" s="4" t="n">
        <v>45336.54</v>
      </c>
      <c r="X611" s="0" t="n">
        <v>25.56</v>
      </c>
      <c r="Y611" s="5" t="n">
        <f aca="false">V611-L611</f>
        <v>33092.31</v>
      </c>
      <c r="Z611" s="6" t="n">
        <f aca="false">Y611/L611</f>
        <v>0.371155336339829</v>
      </c>
      <c r="AA611" s="3" t="n">
        <f aca="false">X611-P611</f>
        <v>-106.99</v>
      </c>
      <c r="AB611" s="6" t="n">
        <f aca="false">AA611/P611</f>
        <v>-0.807167106752169</v>
      </c>
    </row>
    <row r="612" customFormat="false" ht="12.75" hidden="false" customHeight="false" outlineLevel="0" collapsed="false">
      <c r="A612" s="0" t="s">
        <v>710</v>
      </c>
      <c r="B612" s="0" t="n">
        <v>0</v>
      </c>
      <c r="C612" s="0" t="s">
        <v>31</v>
      </c>
      <c r="D612" s="0" t="s">
        <v>31</v>
      </c>
      <c r="E612" s="0" t="n">
        <v>583</v>
      </c>
      <c r="F612" s="0" t="n">
        <v>1420</v>
      </c>
      <c r="G612" s="0" t="n">
        <v>10</v>
      </c>
      <c r="H612" s="0" t="n">
        <v>12</v>
      </c>
      <c r="I612" s="0" t="n">
        <v>12</v>
      </c>
      <c r="J612" s="0" t="n">
        <v>4</v>
      </c>
      <c r="K612" s="0" t="n">
        <v>0.7</v>
      </c>
      <c r="L612" s="1" t="n">
        <v>2571.93</v>
      </c>
      <c r="M612" s="0" t="n">
        <v>1157.4</v>
      </c>
      <c r="N612" s="0" t="n">
        <v>1414.54</v>
      </c>
      <c r="O612" s="0" t="n">
        <v>69446.66</v>
      </c>
      <c r="P612" s="1" t="n">
        <v>24.79</v>
      </c>
      <c r="Q612" s="0" t="n">
        <v>0</v>
      </c>
      <c r="R612" s="0" t="n">
        <v>5</v>
      </c>
      <c r="S612" s="0" t="s">
        <v>711</v>
      </c>
      <c r="T612" s="0" t="str">
        <f aca="false">IF(L612="inf","False","True")</f>
        <v>True</v>
      </c>
      <c r="U612" s="0" t="str">
        <f aca="false">IF(V612="inf","False","True")</f>
        <v>False</v>
      </c>
      <c r="V612" s="4" t="s">
        <v>37</v>
      </c>
      <c r="W612" s="4" t="s">
        <v>37</v>
      </c>
      <c r="X612" s="0" t="n">
        <v>27.01</v>
      </c>
      <c r="Y612" s="5" t="e">
        <f aca="false">V612-L612</f>
        <v>#VALUE!</v>
      </c>
      <c r="Z612" s="6" t="e">
        <f aca="false">Y612/L612</f>
        <v>#VALUE!</v>
      </c>
      <c r="AA612" s="3" t="n">
        <f aca="false">X612-P612</f>
        <v>2.22</v>
      </c>
      <c r="AB612" s="6" t="n">
        <f aca="false">AA612/P612</f>
        <v>0.0895522388059703</v>
      </c>
    </row>
    <row r="613" customFormat="false" ht="12.75" hidden="false" customHeight="false" outlineLevel="0" collapsed="false">
      <c r="A613" s="0" t="s">
        <v>712</v>
      </c>
      <c r="B613" s="0" t="n">
        <v>1</v>
      </c>
      <c r="C613" s="0" t="s">
        <v>31</v>
      </c>
      <c r="D613" s="0" t="s">
        <v>31</v>
      </c>
      <c r="E613" s="0" t="n">
        <v>583</v>
      </c>
      <c r="F613" s="0" t="n">
        <v>1545</v>
      </c>
      <c r="G613" s="0" t="n">
        <v>10</v>
      </c>
      <c r="H613" s="0" t="n">
        <v>12</v>
      </c>
      <c r="I613" s="0" t="n">
        <v>12</v>
      </c>
      <c r="J613" s="0" t="n">
        <v>4</v>
      </c>
      <c r="K613" s="0" t="n">
        <v>0.7</v>
      </c>
      <c r="L613" s="1" t="n">
        <v>242601.28</v>
      </c>
      <c r="M613" s="0" t="n">
        <v>241130.2</v>
      </c>
      <c r="N613" s="0" t="n">
        <v>1471.07</v>
      </c>
      <c r="O613" s="0" t="n">
        <v>73289.45</v>
      </c>
      <c r="P613" s="1" t="n">
        <v>208.47</v>
      </c>
      <c r="Q613" s="0" t="n">
        <v>0</v>
      </c>
      <c r="R613" s="0" t="n">
        <v>19</v>
      </c>
      <c r="S613" s="0" t="s">
        <v>32</v>
      </c>
      <c r="T613" s="0" t="str">
        <f aca="false">IF(L613="inf","False","True")</f>
        <v>True</v>
      </c>
      <c r="U613" s="0" t="str">
        <f aca="false">IF(V613="inf","False","True")</f>
        <v>False</v>
      </c>
      <c r="V613" s="4" t="s">
        <v>37</v>
      </c>
      <c r="W613" s="4" t="s">
        <v>37</v>
      </c>
      <c r="X613" s="0" t="n">
        <v>25.66</v>
      </c>
      <c r="Y613" s="5" t="e">
        <f aca="false">V613-L613</f>
        <v>#VALUE!</v>
      </c>
      <c r="Z613" s="6" t="e">
        <f aca="false">Y613/L613</f>
        <v>#VALUE!</v>
      </c>
      <c r="AA613" s="3" t="n">
        <f aca="false">X613-P613</f>
        <v>-182.81</v>
      </c>
      <c r="AB613" s="6" t="n">
        <f aca="false">AA613/P613</f>
        <v>-0.876912745239123</v>
      </c>
    </row>
    <row r="614" customFormat="false" ht="12.75" hidden="false" customHeight="false" outlineLevel="0" collapsed="false">
      <c r="A614" s="0" t="s">
        <v>713</v>
      </c>
      <c r="B614" s="0" t="n">
        <v>2</v>
      </c>
      <c r="C614" s="0" t="s">
        <v>31</v>
      </c>
      <c r="D614" s="0" t="s">
        <v>31</v>
      </c>
      <c r="E614" s="0" t="n">
        <v>583</v>
      </c>
      <c r="F614" s="0" t="n">
        <v>1439</v>
      </c>
      <c r="G614" s="0" t="n">
        <v>10</v>
      </c>
      <c r="H614" s="0" t="n">
        <v>12</v>
      </c>
      <c r="I614" s="0" t="n">
        <v>12</v>
      </c>
      <c r="J614" s="0" t="n">
        <v>4</v>
      </c>
      <c r="K614" s="0" t="n">
        <v>0.7</v>
      </c>
      <c r="L614" s="1" t="n">
        <v>254175.65</v>
      </c>
      <c r="M614" s="0" t="n">
        <v>252826.88</v>
      </c>
      <c r="N614" s="0" t="n">
        <v>1348.77</v>
      </c>
      <c r="O614" s="0" t="n">
        <v>66002.55</v>
      </c>
      <c r="P614" s="1" t="n">
        <v>78.82</v>
      </c>
      <c r="Q614" s="0" t="n">
        <v>0</v>
      </c>
      <c r="R614" s="0" t="n">
        <v>12</v>
      </c>
      <c r="S614" s="0" t="s">
        <v>32</v>
      </c>
      <c r="T614" s="0" t="str">
        <f aca="false">IF(L614="inf","False","True")</f>
        <v>True</v>
      </c>
      <c r="U614" s="0" t="str">
        <f aca="false">IF(V614="inf","False","True")</f>
        <v>False</v>
      </c>
      <c r="V614" s="4" t="s">
        <v>37</v>
      </c>
      <c r="W614" s="4" t="s">
        <v>37</v>
      </c>
      <c r="X614" s="0" t="n">
        <v>26.76</v>
      </c>
      <c r="Y614" s="5" t="e">
        <f aca="false">V614-L614</f>
        <v>#VALUE!</v>
      </c>
      <c r="Z614" s="6" t="e">
        <f aca="false">Y614/L614</f>
        <v>#VALUE!</v>
      </c>
      <c r="AA614" s="3" t="n">
        <f aca="false">X614-P614</f>
        <v>-52.06</v>
      </c>
      <c r="AB614" s="6" t="n">
        <f aca="false">AA614/P614</f>
        <v>-0.660492260847501</v>
      </c>
    </row>
    <row r="615" customFormat="false" ht="12.75" hidden="false" customHeight="false" outlineLevel="0" collapsed="false">
      <c r="A615" s="0" t="s">
        <v>714</v>
      </c>
      <c r="B615" s="0" t="n">
        <v>3</v>
      </c>
      <c r="C615" s="0" t="s">
        <v>31</v>
      </c>
      <c r="D615" s="0" t="s">
        <v>31</v>
      </c>
      <c r="E615" s="0" t="n">
        <v>583</v>
      </c>
      <c r="F615" s="0" t="n">
        <v>1419</v>
      </c>
      <c r="G615" s="0" t="n">
        <v>10</v>
      </c>
      <c r="H615" s="0" t="n">
        <v>12</v>
      </c>
      <c r="I615" s="0" t="n">
        <v>12</v>
      </c>
      <c r="J615" s="0" t="n">
        <v>4</v>
      </c>
      <c r="K615" s="0" t="n">
        <v>0.7</v>
      </c>
      <c r="L615" s="1" t="n">
        <v>174077.84</v>
      </c>
      <c r="M615" s="0" t="n">
        <v>172701.91</v>
      </c>
      <c r="N615" s="0" t="n">
        <v>1375.94</v>
      </c>
      <c r="O615" s="0" t="n">
        <v>61499.97</v>
      </c>
      <c r="P615" s="1" t="n">
        <v>120.48</v>
      </c>
      <c r="Q615" s="0" t="n">
        <v>0</v>
      </c>
      <c r="R615" s="0" t="n">
        <v>2</v>
      </c>
      <c r="S615" s="0" t="s">
        <v>32</v>
      </c>
      <c r="T615" s="0" t="str">
        <f aca="false">IF(L615="inf","False","True")</f>
        <v>True</v>
      </c>
      <c r="U615" s="0" t="str">
        <f aca="false">IF(V615="inf","False","True")</f>
        <v>False</v>
      </c>
      <c r="V615" s="4" t="s">
        <v>37</v>
      </c>
      <c r="W615" s="4" t="s">
        <v>37</v>
      </c>
      <c r="X615" s="0" t="n">
        <v>32.23</v>
      </c>
      <c r="Y615" s="5" t="e">
        <f aca="false">V615-L615</f>
        <v>#VALUE!</v>
      </c>
      <c r="Z615" s="6" t="e">
        <f aca="false">Y615/L615</f>
        <v>#VALUE!</v>
      </c>
      <c r="AA615" s="3" t="n">
        <f aca="false">X615-P615</f>
        <v>-88.25</v>
      </c>
      <c r="AB615" s="6" t="n">
        <f aca="false">AA615/P615</f>
        <v>-0.732486719787517</v>
      </c>
    </row>
    <row r="616" customFormat="false" ht="12.75" hidden="false" customHeight="false" outlineLevel="0" collapsed="false">
      <c r="A616" s="0" t="s">
        <v>715</v>
      </c>
      <c r="B616" s="0" t="n">
        <v>4</v>
      </c>
      <c r="C616" s="0" t="s">
        <v>31</v>
      </c>
      <c r="D616" s="0" t="s">
        <v>31</v>
      </c>
      <c r="E616" s="0" t="n">
        <v>583</v>
      </c>
      <c r="F616" s="0" t="n">
        <v>1555</v>
      </c>
      <c r="G616" s="0" t="n">
        <v>10</v>
      </c>
      <c r="H616" s="0" t="n">
        <v>12</v>
      </c>
      <c r="I616" s="0" t="n">
        <v>12</v>
      </c>
      <c r="J616" s="0" t="n">
        <v>4</v>
      </c>
      <c r="K616" s="0" t="n">
        <v>0.7</v>
      </c>
      <c r="L616" s="1" t="n">
        <v>116937.58</v>
      </c>
      <c r="M616" s="0" t="n">
        <v>115462.75</v>
      </c>
      <c r="N616" s="0" t="n">
        <v>1474.83</v>
      </c>
      <c r="O616" s="0" t="n">
        <v>63073.56</v>
      </c>
      <c r="P616" s="1" t="n">
        <v>65.88</v>
      </c>
      <c r="Q616" s="0" t="n">
        <v>0</v>
      </c>
      <c r="R616" s="0" t="n">
        <v>4</v>
      </c>
      <c r="S616" s="0" t="s">
        <v>32</v>
      </c>
      <c r="T616" s="0" t="str">
        <f aca="false">IF(L616="inf","False","True")</f>
        <v>True</v>
      </c>
      <c r="U616" s="0" t="str">
        <f aca="false">IF(V616="inf","False","True")</f>
        <v>False</v>
      </c>
      <c r="V616" s="4" t="s">
        <v>37</v>
      </c>
      <c r="W616" s="4" t="s">
        <v>37</v>
      </c>
      <c r="X616" s="0" t="n">
        <v>45.35</v>
      </c>
      <c r="Y616" s="5" t="e">
        <f aca="false">V616-L616</f>
        <v>#VALUE!</v>
      </c>
      <c r="Z616" s="6" t="e">
        <f aca="false">Y616/L616</f>
        <v>#VALUE!</v>
      </c>
      <c r="AA616" s="3" t="n">
        <f aca="false">X616-P616</f>
        <v>-20.53</v>
      </c>
      <c r="AB616" s="6" t="n">
        <f aca="false">AA616/P616</f>
        <v>-0.311627200971463</v>
      </c>
    </row>
    <row r="617" customFormat="false" ht="12.75" hidden="false" customHeight="false" outlineLevel="0" collapsed="false">
      <c r="A617" s="0" t="s">
        <v>716</v>
      </c>
      <c r="B617" s="0" t="n">
        <v>0</v>
      </c>
      <c r="C617" s="0" t="s">
        <v>31</v>
      </c>
      <c r="D617" s="0" t="s">
        <v>31</v>
      </c>
      <c r="E617" s="0" t="n">
        <v>833</v>
      </c>
      <c r="F617" s="0" t="n">
        <v>2033</v>
      </c>
      <c r="G617" s="0" t="n">
        <v>10</v>
      </c>
      <c r="H617" s="0" t="n">
        <v>12</v>
      </c>
      <c r="I617" s="0" t="n">
        <v>12</v>
      </c>
      <c r="J617" s="0" t="n">
        <v>4</v>
      </c>
      <c r="K617" s="0" t="n">
        <v>0.7</v>
      </c>
      <c r="L617" s="1" t="n">
        <v>182515.11</v>
      </c>
      <c r="M617" s="0" t="n">
        <v>180610.79</v>
      </c>
      <c r="N617" s="0" t="n">
        <v>1904.33</v>
      </c>
      <c r="O617" s="0" t="n">
        <v>96997.19</v>
      </c>
      <c r="P617" s="1" t="n">
        <v>161.91</v>
      </c>
      <c r="Q617" s="0" t="n">
        <v>0</v>
      </c>
      <c r="R617" s="0" t="n">
        <v>12</v>
      </c>
      <c r="S617" s="0" t="s">
        <v>32</v>
      </c>
      <c r="T617" s="0" t="str">
        <f aca="false">IF(L617="inf","False","True")</f>
        <v>True</v>
      </c>
      <c r="U617" s="0" t="str">
        <f aca="false">IF(V617="inf","False","True")</f>
        <v>False</v>
      </c>
      <c r="V617" s="4" t="s">
        <v>37</v>
      </c>
      <c r="W617" s="4" t="s">
        <v>37</v>
      </c>
      <c r="X617" s="0" t="n">
        <v>26.06</v>
      </c>
      <c r="Y617" s="5" t="e">
        <f aca="false">V617-L617</f>
        <v>#VALUE!</v>
      </c>
      <c r="Z617" s="6" t="e">
        <f aca="false">Y617/L617</f>
        <v>#VALUE!</v>
      </c>
      <c r="AA617" s="3" t="n">
        <f aca="false">X617-P617</f>
        <v>-135.85</v>
      </c>
      <c r="AB617" s="6" t="n">
        <f aca="false">AA617/P617</f>
        <v>-0.839046383793466</v>
      </c>
    </row>
    <row r="618" customFormat="false" ht="12.75" hidden="false" customHeight="false" outlineLevel="0" collapsed="false">
      <c r="A618" s="0" t="s">
        <v>717</v>
      </c>
      <c r="B618" s="0" t="n">
        <v>1</v>
      </c>
      <c r="C618" s="0" t="s">
        <v>31</v>
      </c>
      <c r="D618" s="0" t="s">
        <v>31</v>
      </c>
      <c r="E618" s="0" t="n">
        <v>833</v>
      </c>
      <c r="F618" s="0" t="n">
        <v>2213</v>
      </c>
      <c r="G618" s="0" t="n">
        <v>10</v>
      </c>
      <c r="H618" s="0" t="n">
        <v>12</v>
      </c>
      <c r="I618" s="0" t="n">
        <v>12</v>
      </c>
      <c r="J618" s="0" t="n">
        <v>4</v>
      </c>
      <c r="K618" s="0" t="n">
        <v>0.7</v>
      </c>
      <c r="L618" s="1" t="n">
        <v>364423.11</v>
      </c>
      <c r="M618" s="0" t="n">
        <v>362343.13</v>
      </c>
      <c r="N618" s="0" t="n">
        <v>2079.98</v>
      </c>
      <c r="O618" s="0" t="n">
        <v>98635.99</v>
      </c>
      <c r="P618" s="1" t="n">
        <v>108.14</v>
      </c>
      <c r="Q618" s="0" t="n">
        <v>0</v>
      </c>
      <c r="R618" s="0" t="n">
        <v>7</v>
      </c>
      <c r="S618" s="0" t="s">
        <v>32</v>
      </c>
      <c r="T618" s="0" t="str">
        <f aca="false">IF(L618="inf","False","True")</f>
        <v>True</v>
      </c>
      <c r="U618" s="0" t="str">
        <f aca="false">IF(V618="inf","False","True")</f>
        <v>False</v>
      </c>
      <c r="V618" s="4" t="s">
        <v>37</v>
      </c>
      <c r="W618" s="4" t="s">
        <v>37</v>
      </c>
      <c r="X618" s="0" t="n">
        <v>24.45</v>
      </c>
      <c r="Y618" s="5" t="e">
        <f aca="false">V618-L618</f>
        <v>#VALUE!</v>
      </c>
      <c r="Z618" s="6" t="e">
        <f aca="false">Y618/L618</f>
        <v>#VALUE!</v>
      </c>
      <c r="AA618" s="3" t="n">
        <f aca="false">X618-P618</f>
        <v>-83.69</v>
      </c>
      <c r="AB618" s="6" t="n">
        <f aca="false">AA618/P618</f>
        <v>-0.773904198261513</v>
      </c>
    </row>
    <row r="619" customFormat="false" ht="12.75" hidden="false" customHeight="false" outlineLevel="0" collapsed="false">
      <c r="A619" s="0" t="s">
        <v>718</v>
      </c>
      <c r="B619" s="0" t="n">
        <v>2</v>
      </c>
      <c r="C619" s="0" t="s">
        <v>31</v>
      </c>
      <c r="D619" s="0" t="s">
        <v>31</v>
      </c>
      <c r="E619" s="0" t="n">
        <v>833</v>
      </c>
      <c r="F619" s="0" t="n">
        <v>2060</v>
      </c>
      <c r="G619" s="0" t="n">
        <v>10</v>
      </c>
      <c r="H619" s="0" t="n">
        <v>12</v>
      </c>
      <c r="I619" s="0" t="n">
        <v>12</v>
      </c>
      <c r="J619" s="0" t="n">
        <v>4</v>
      </c>
      <c r="K619" s="0" t="n">
        <v>0.7</v>
      </c>
      <c r="L619" s="1" t="n">
        <v>295791.12</v>
      </c>
      <c r="M619" s="0" t="n">
        <v>293813.47</v>
      </c>
      <c r="N619" s="0" t="n">
        <v>1977.65</v>
      </c>
      <c r="O619" s="0" t="n">
        <v>94075.98</v>
      </c>
      <c r="P619" s="1" t="n">
        <v>475.77</v>
      </c>
      <c r="Q619" s="0" t="n">
        <v>0</v>
      </c>
      <c r="R619" s="0" t="n">
        <v>24</v>
      </c>
      <c r="S619" s="0" t="s">
        <v>32</v>
      </c>
      <c r="T619" s="0" t="str">
        <f aca="false">IF(L619="inf","False","True")</f>
        <v>True</v>
      </c>
      <c r="U619" s="0" t="str">
        <f aca="false">IF(V619="inf","False","True")</f>
        <v>False</v>
      </c>
      <c r="V619" s="4" t="s">
        <v>37</v>
      </c>
      <c r="W619" s="4" t="s">
        <v>37</v>
      </c>
      <c r="X619" s="0" t="n">
        <v>25.09</v>
      </c>
      <c r="Y619" s="5" t="e">
        <f aca="false">V619-L619</f>
        <v>#VALUE!</v>
      </c>
      <c r="Z619" s="6" t="e">
        <f aca="false">Y619/L619</f>
        <v>#VALUE!</v>
      </c>
      <c r="AA619" s="3" t="n">
        <f aca="false">X619-P619</f>
        <v>-450.68</v>
      </c>
      <c r="AB619" s="6" t="n">
        <f aca="false">AA619/P619</f>
        <v>-0.94726443449566</v>
      </c>
    </row>
    <row r="620" customFormat="false" ht="12.75" hidden="false" customHeight="false" outlineLevel="0" collapsed="false">
      <c r="A620" s="0" t="s">
        <v>719</v>
      </c>
      <c r="B620" s="0" t="n">
        <v>3</v>
      </c>
      <c r="C620" s="0" t="s">
        <v>31</v>
      </c>
      <c r="D620" s="0" t="s">
        <v>31</v>
      </c>
      <c r="E620" s="0" t="n">
        <v>833</v>
      </c>
      <c r="F620" s="0" t="n">
        <v>2033</v>
      </c>
      <c r="G620" s="0" t="n">
        <v>10</v>
      </c>
      <c r="H620" s="0" t="n">
        <v>12</v>
      </c>
      <c r="I620" s="0" t="n">
        <v>12</v>
      </c>
      <c r="J620" s="0" t="n">
        <v>4</v>
      </c>
      <c r="K620" s="0" t="n">
        <v>0.7</v>
      </c>
      <c r="L620" s="1" t="n">
        <v>228089.88</v>
      </c>
      <c r="M620" s="0" t="n">
        <v>226179.42</v>
      </c>
      <c r="N620" s="0" t="n">
        <v>1910.47</v>
      </c>
      <c r="O620" s="0" t="n">
        <v>90316.22</v>
      </c>
      <c r="P620" s="1" t="n">
        <v>162.85</v>
      </c>
      <c r="Q620" s="0" t="n">
        <v>0</v>
      </c>
      <c r="R620" s="0" t="n">
        <v>3</v>
      </c>
      <c r="S620" s="0" t="s">
        <v>32</v>
      </c>
      <c r="T620" s="0" t="str">
        <f aca="false">IF(L620="inf","False","True")</f>
        <v>True</v>
      </c>
      <c r="U620" s="0" t="str">
        <f aca="false">IF(V620="inf","False","True")</f>
        <v>False</v>
      </c>
      <c r="V620" s="4" t="s">
        <v>37</v>
      </c>
      <c r="W620" s="4" t="s">
        <v>37</v>
      </c>
      <c r="X620" s="0" t="n">
        <v>35.96</v>
      </c>
      <c r="Y620" s="5" t="e">
        <f aca="false">V620-L620</f>
        <v>#VALUE!</v>
      </c>
      <c r="Z620" s="6" t="e">
        <f aca="false">Y620/L620</f>
        <v>#VALUE!</v>
      </c>
      <c r="AA620" s="3" t="n">
        <f aca="false">X620-P620</f>
        <v>-126.89</v>
      </c>
      <c r="AB620" s="6" t="n">
        <f aca="false">AA620/P620</f>
        <v>-0.779183297513049</v>
      </c>
    </row>
    <row r="621" customFormat="false" ht="12.75" hidden="false" customHeight="false" outlineLevel="0" collapsed="false">
      <c r="A621" s="0" t="s">
        <v>720</v>
      </c>
      <c r="B621" s="0" t="n">
        <v>4</v>
      </c>
      <c r="C621" s="0" t="s">
        <v>31</v>
      </c>
      <c r="D621" s="0" t="s">
        <v>31</v>
      </c>
      <c r="E621" s="0" t="n">
        <v>833</v>
      </c>
      <c r="F621" s="0" t="n">
        <v>2228</v>
      </c>
      <c r="G621" s="0" t="n">
        <v>10</v>
      </c>
      <c r="H621" s="0" t="n">
        <v>12</v>
      </c>
      <c r="I621" s="0" t="n">
        <v>12</v>
      </c>
      <c r="J621" s="0" t="n">
        <v>4</v>
      </c>
      <c r="K621" s="0" t="n">
        <v>0.7</v>
      </c>
      <c r="L621" s="1" t="n">
        <v>169411.69</v>
      </c>
      <c r="M621" s="0" t="n">
        <v>167312.11</v>
      </c>
      <c r="N621" s="0" t="n">
        <v>2099.58</v>
      </c>
      <c r="O621" s="0" t="n">
        <v>91064.05</v>
      </c>
      <c r="P621" s="1" t="n">
        <v>403.91</v>
      </c>
      <c r="Q621" s="0" t="n">
        <v>0</v>
      </c>
      <c r="R621" s="0" t="n">
        <v>25</v>
      </c>
      <c r="S621" s="0" t="s">
        <v>32</v>
      </c>
      <c r="T621" s="0" t="str">
        <f aca="false">IF(L621="inf","False","True")</f>
        <v>True</v>
      </c>
      <c r="U621" s="0" t="str">
        <f aca="false">IF(V621="inf","False","True")</f>
        <v>False</v>
      </c>
      <c r="V621" s="4" t="s">
        <v>37</v>
      </c>
      <c r="W621" s="4" t="s">
        <v>37</v>
      </c>
      <c r="X621" s="0" t="n">
        <v>40.2</v>
      </c>
      <c r="Y621" s="5" t="e">
        <f aca="false">V621-L621</f>
        <v>#VALUE!</v>
      </c>
      <c r="Z621" s="6" t="e">
        <f aca="false">Y621/L621</f>
        <v>#VALUE!</v>
      </c>
      <c r="AA621" s="3" t="n">
        <f aca="false">X621-P621</f>
        <v>-363.71</v>
      </c>
      <c r="AB621" s="6" t="n">
        <f aca="false">AA621/P621</f>
        <v>-0.900472877621252</v>
      </c>
    </row>
    <row r="622" customFormat="false" ht="12.75" hidden="false" customHeight="false" outlineLevel="0" collapsed="false">
      <c r="A622" s="0" t="s">
        <v>721</v>
      </c>
      <c r="B622" s="0" t="n">
        <v>0</v>
      </c>
      <c r="C622" s="0" t="s">
        <v>31</v>
      </c>
      <c r="D622" s="0" t="s">
        <v>31</v>
      </c>
      <c r="E622" s="0" t="n">
        <v>250</v>
      </c>
      <c r="F622" s="0" t="n">
        <v>736</v>
      </c>
      <c r="G622" s="0" t="n">
        <v>10</v>
      </c>
      <c r="H622" s="0" t="n">
        <v>12</v>
      </c>
      <c r="I622" s="0" t="n">
        <v>12</v>
      </c>
      <c r="J622" s="0" t="n">
        <v>8</v>
      </c>
      <c r="K622" s="0" t="n">
        <v>0.7</v>
      </c>
      <c r="L622" s="1" t="n">
        <v>736</v>
      </c>
      <c r="M622" s="0" t="n">
        <v>0</v>
      </c>
      <c r="N622" s="0" t="n">
        <v>736</v>
      </c>
      <c r="O622" s="0" t="n">
        <v>30518</v>
      </c>
      <c r="P622" s="1" t="n">
        <v>20.34</v>
      </c>
      <c r="Q622" s="0" t="n">
        <v>0</v>
      </c>
      <c r="R622" s="0" t="n">
        <v>1</v>
      </c>
      <c r="S622" s="0" t="s">
        <v>42</v>
      </c>
      <c r="T622" s="0" t="str">
        <f aca="false">IF(L622="inf","False","True")</f>
        <v>True</v>
      </c>
      <c r="U622" s="0" t="str">
        <f aca="false">IF(V622="inf","False","True")</f>
        <v>False</v>
      </c>
      <c r="V622" s="4" t="s">
        <v>37</v>
      </c>
      <c r="W622" s="4" t="s">
        <v>37</v>
      </c>
      <c r="X622" s="0" t="n">
        <v>140.1</v>
      </c>
      <c r="Y622" s="5" t="e">
        <f aca="false">V622-L622</f>
        <v>#VALUE!</v>
      </c>
      <c r="Z622" s="6" t="e">
        <f aca="false">Y622/L622</f>
        <v>#VALUE!</v>
      </c>
      <c r="AA622" s="3" t="n">
        <f aca="false">X622-P622</f>
        <v>119.76</v>
      </c>
      <c r="AB622" s="6" t="n">
        <f aca="false">AA622/P622</f>
        <v>5.88790560471976</v>
      </c>
    </row>
    <row r="623" customFormat="false" ht="12.75" hidden="false" customHeight="false" outlineLevel="0" collapsed="false">
      <c r="A623" s="0" t="s">
        <v>722</v>
      </c>
      <c r="B623" s="0" t="n">
        <v>1</v>
      </c>
      <c r="C623" s="0" t="s">
        <v>31</v>
      </c>
      <c r="D623" s="0" t="s">
        <v>31</v>
      </c>
      <c r="E623" s="0" t="n">
        <v>250</v>
      </c>
      <c r="F623" s="0" t="n">
        <v>793</v>
      </c>
      <c r="G623" s="0" t="n">
        <v>10</v>
      </c>
      <c r="H623" s="0" t="n">
        <v>12</v>
      </c>
      <c r="I623" s="0" t="n">
        <v>12</v>
      </c>
      <c r="J623" s="0" t="n">
        <v>8</v>
      </c>
      <c r="K623" s="0" t="n">
        <v>0.7</v>
      </c>
      <c r="L623" s="1" t="n">
        <v>793</v>
      </c>
      <c r="M623" s="0" t="n">
        <v>0</v>
      </c>
      <c r="N623" s="0" t="n">
        <v>793</v>
      </c>
      <c r="O623" s="0" t="n">
        <v>31104</v>
      </c>
      <c r="P623" s="1" t="n">
        <v>33.89</v>
      </c>
      <c r="Q623" s="0" t="n">
        <v>0</v>
      </c>
      <c r="R623" s="0" t="n">
        <v>5</v>
      </c>
      <c r="S623" s="0" t="s">
        <v>42</v>
      </c>
      <c r="T623" s="0" t="str">
        <f aca="false">IF(L623="inf","False","True")</f>
        <v>True</v>
      </c>
      <c r="U623" s="0" t="str">
        <f aca="false">IF(V623="inf","False","True")</f>
        <v>False</v>
      </c>
      <c r="V623" s="4" t="s">
        <v>37</v>
      </c>
      <c r="W623" s="4" t="s">
        <v>37</v>
      </c>
      <c r="X623" s="0" t="n">
        <v>41.32</v>
      </c>
      <c r="Y623" s="5" t="e">
        <f aca="false">V623-L623</f>
        <v>#VALUE!</v>
      </c>
      <c r="Z623" s="6" t="e">
        <f aca="false">Y623/L623</f>
        <v>#VALUE!</v>
      </c>
      <c r="AA623" s="3" t="n">
        <f aca="false">X623-P623</f>
        <v>7.43</v>
      </c>
      <c r="AB623" s="6" t="n">
        <f aca="false">AA623/P623</f>
        <v>0.219238713484804</v>
      </c>
    </row>
    <row r="624" customFormat="false" ht="12.75" hidden="false" customHeight="false" outlineLevel="0" collapsed="false">
      <c r="A624" s="0" t="s">
        <v>723</v>
      </c>
      <c r="B624" s="0" t="n">
        <v>2</v>
      </c>
      <c r="C624" s="0" t="s">
        <v>31</v>
      </c>
      <c r="D624" s="0" t="s">
        <v>31</v>
      </c>
      <c r="E624" s="0" t="n">
        <v>250</v>
      </c>
      <c r="F624" s="0" t="n">
        <v>731</v>
      </c>
      <c r="G624" s="0" t="n">
        <v>10</v>
      </c>
      <c r="H624" s="0" t="n">
        <v>12</v>
      </c>
      <c r="I624" s="0" t="n">
        <v>12</v>
      </c>
      <c r="J624" s="0" t="n">
        <v>8</v>
      </c>
      <c r="K624" s="0" t="n">
        <v>0.7</v>
      </c>
      <c r="L624" s="1" t="n">
        <v>731</v>
      </c>
      <c r="M624" s="0" t="n">
        <v>0</v>
      </c>
      <c r="N624" s="0" t="n">
        <v>731</v>
      </c>
      <c r="O624" s="0" t="n">
        <v>25366</v>
      </c>
      <c r="P624" s="1" t="n">
        <v>41.04</v>
      </c>
      <c r="Q624" s="0" t="n">
        <v>0</v>
      </c>
      <c r="R624" s="0" t="n">
        <v>1</v>
      </c>
      <c r="S624" s="0" t="s">
        <v>42</v>
      </c>
      <c r="T624" s="0" t="str">
        <f aca="false">IF(L624="inf","False","True")</f>
        <v>True</v>
      </c>
      <c r="U624" s="0" t="str">
        <f aca="false">IF(V624="inf","False","True")</f>
        <v>True</v>
      </c>
      <c r="V624" s="4" t="n">
        <v>77139.52</v>
      </c>
      <c r="W624" s="4" t="n">
        <v>25041.97</v>
      </c>
      <c r="X624" s="0" t="n">
        <v>130.22</v>
      </c>
      <c r="Y624" s="5" t="n">
        <f aca="false">V624-L624</f>
        <v>76408.52</v>
      </c>
      <c r="Z624" s="6" t="n">
        <f aca="false">Y624/L624</f>
        <v>104.526019151847</v>
      </c>
      <c r="AA624" s="3" t="n">
        <f aca="false">X624-P624</f>
        <v>89.18</v>
      </c>
      <c r="AB624" s="6" t="n">
        <f aca="false">AA624/P624</f>
        <v>2.17300194931774</v>
      </c>
    </row>
    <row r="625" customFormat="false" ht="12.75" hidden="false" customHeight="false" outlineLevel="0" collapsed="false">
      <c r="A625" s="0" t="s">
        <v>724</v>
      </c>
      <c r="B625" s="0" t="n">
        <v>3</v>
      </c>
      <c r="C625" s="0" t="s">
        <v>31</v>
      </c>
      <c r="D625" s="0" t="s">
        <v>31</v>
      </c>
      <c r="E625" s="0" t="n">
        <v>250</v>
      </c>
      <c r="F625" s="0" t="n">
        <v>727</v>
      </c>
      <c r="G625" s="0" t="n">
        <v>10</v>
      </c>
      <c r="H625" s="0" t="n">
        <v>12</v>
      </c>
      <c r="I625" s="0" t="n">
        <v>12</v>
      </c>
      <c r="J625" s="0" t="n">
        <v>8</v>
      </c>
      <c r="K625" s="0" t="n">
        <v>0.7</v>
      </c>
      <c r="L625" s="1" t="n">
        <v>727</v>
      </c>
      <c r="M625" s="0" t="n">
        <v>0</v>
      </c>
      <c r="N625" s="0" t="n">
        <v>727</v>
      </c>
      <c r="O625" s="0" t="n">
        <v>28905</v>
      </c>
      <c r="P625" s="1" t="n">
        <v>34.96</v>
      </c>
      <c r="Q625" s="0" t="n">
        <v>0</v>
      </c>
      <c r="R625" s="0" t="n">
        <v>5</v>
      </c>
      <c r="S625" s="0" t="s">
        <v>42</v>
      </c>
      <c r="T625" s="0" t="str">
        <f aca="false">IF(L625="inf","False","True")</f>
        <v>True</v>
      </c>
      <c r="U625" s="0" t="str">
        <f aca="false">IF(V625="inf","False","True")</f>
        <v>True</v>
      </c>
      <c r="V625" s="4" t="n">
        <v>63696.57</v>
      </c>
      <c r="W625" s="4" t="n">
        <v>26323.3</v>
      </c>
      <c r="X625" s="0" t="n">
        <v>440.08</v>
      </c>
      <c r="Y625" s="5" t="n">
        <f aca="false">V625-L625</f>
        <v>62969.57</v>
      </c>
      <c r="Z625" s="6" t="n">
        <f aca="false">Y625/L625</f>
        <v>86.6156396148556</v>
      </c>
      <c r="AA625" s="3" t="n">
        <f aca="false">X625-P625</f>
        <v>405.12</v>
      </c>
      <c r="AB625" s="6" t="n">
        <f aca="false">AA625/P625</f>
        <v>11.5881006864989</v>
      </c>
    </row>
    <row r="626" customFormat="false" ht="12.75" hidden="false" customHeight="false" outlineLevel="0" collapsed="false">
      <c r="A626" s="0" t="s">
        <v>725</v>
      </c>
      <c r="B626" s="0" t="n">
        <v>4</v>
      </c>
      <c r="C626" s="0" t="s">
        <v>31</v>
      </c>
      <c r="D626" s="0" t="s">
        <v>31</v>
      </c>
      <c r="E626" s="0" t="n">
        <v>250</v>
      </c>
      <c r="F626" s="0" t="n">
        <v>754</v>
      </c>
      <c r="G626" s="0" t="n">
        <v>10</v>
      </c>
      <c r="H626" s="0" t="n">
        <v>12</v>
      </c>
      <c r="I626" s="0" t="n">
        <v>12</v>
      </c>
      <c r="J626" s="0" t="n">
        <v>8</v>
      </c>
      <c r="K626" s="0" t="n">
        <v>0.7</v>
      </c>
      <c r="L626" s="1" t="n">
        <v>754</v>
      </c>
      <c r="M626" s="0" t="n">
        <v>0</v>
      </c>
      <c r="N626" s="0" t="n">
        <v>754</v>
      </c>
      <c r="O626" s="0" t="n">
        <v>29554</v>
      </c>
      <c r="P626" s="1" t="n">
        <v>18.49</v>
      </c>
      <c r="Q626" s="0" t="n">
        <v>0</v>
      </c>
      <c r="R626" s="0" t="n">
        <v>1</v>
      </c>
      <c r="S626" s="0" t="s">
        <v>42</v>
      </c>
      <c r="T626" s="0" t="str">
        <f aca="false">IF(L626="inf","False","True")</f>
        <v>True</v>
      </c>
      <c r="U626" s="0" t="str">
        <f aca="false">IF(V626="inf","False","True")</f>
        <v>True</v>
      </c>
      <c r="V626" s="4" t="n">
        <v>66377.37</v>
      </c>
      <c r="W626" s="4" t="n">
        <v>27520.36</v>
      </c>
      <c r="X626" s="0" t="n">
        <v>232.12</v>
      </c>
      <c r="Y626" s="5" t="n">
        <f aca="false">V626-L626</f>
        <v>65623.37</v>
      </c>
      <c r="Z626" s="6" t="n">
        <f aca="false">Y626/L626</f>
        <v>87.0336472148541</v>
      </c>
      <c r="AA626" s="3" t="n">
        <f aca="false">X626-P626</f>
        <v>213.63</v>
      </c>
      <c r="AB626" s="6" t="n">
        <f aca="false">AA626/P626</f>
        <v>11.5538128718226</v>
      </c>
    </row>
    <row r="627" customFormat="false" ht="12.75" hidden="false" customHeight="false" outlineLevel="0" collapsed="false">
      <c r="A627" s="0" t="s">
        <v>726</v>
      </c>
      <c r="B627" s="0" t="n">
        <v>0</v>
      </c>
      <c r="C627" s="0" t="s">
        <v>31</v>
      </c>
      <c r="D627" s="0" t="s">
        <v>31</v>
      </c>
      <c r="E627" s="0" t="n">
        <v>416</v>
      </c>
      <c r="F627" s="0" t="n">
        <v>1231</v>
      </c>
      <c r="G627" s="0" t="n">
        <v>10</v>
      </c>
      <c r="H627" s="0" t="n">
        <v>12</v>
      </c>
      <c r="I627" s="0" t="n">
        <v>12</v>
      </c>
      <c r="J627" s="0" t="n">
        <v>8</v>
      </c>
      <c r="K627" s="0" t="n">
        <v>0.7</v>
      </c>
      <c r="L627" s="1" t="n">
        <v>1231</v>
      </c>
      <c r="M627" s="0" t="n">
        <v>0</v>
      </c>
      <c r="N627" s="0" t="n">
        <v>1231</v>
      </c>
      <c r="O627" s="0" t="n">
        <v>50829</v>
      </c>
      <c r="P627" s="1" t="n">
        <v>23.6</v>
      </c>
      <c r="Q627" s="0" t="n">
        <v>0</v>
      </c>
      <c r="R627" s="0" t="n">
        <v>1</v>
      </c>
      <c r="S627" s="0" t="s">
        <v>42</v>
      </c>
      <c r="T627" s="0" t="str">
        <f aca="false">IF(L627="inf","False","True")</f>
        <v>True</v>
      </c>
      <c r="U627" s="0" t="str">
        <f aca="false">IF(V627="inf","False","True")</f>
        <v>True</v>
      </c>
      <c r="V627" s="4" t="n">
        <v>79752.85</v>
      </c>
      <c r="W627" s="4" t="n">
        <v>47188.16</v>
      </c>
      <c r="X627" s="0" t="n">
        <v>115.38</v>
      </c>
      <c r="Y627" s="5" t="n">
        <f aca="false">V627-L627</f>
        <v>78521.85</v>
      </c>
      <c r="Z627" s="6" t="n">
        <f aca="false">Y627/L627</f>
        <v>63.7870430544273</v>
      </c>
      <c r="AA627" s="3" t="n">
        <f aca="false">X627-P627</f>
        <v>91.78</v>
      </c>
      <c r="AB627" s="6" t="n">
        <f aca="false">AA627/P627</f>
        <v>3.88898305084746</v>
      </c>
    </row>
    <row r="628" customFormat="false" ht="12.75" hidden="false" customHeight="false" outlineLevel="0" collapsed="false">
      <c r="A628" s="0" t="s">
        <v>727</v>
      </c>
      <c r="B628" s="0" t="n">
        <v>1</v>
      </c>
      <c r="C628" s="0" t="s">
        <v>31</v>
      </c>
      <c r="D628" s="0" t="s">
        <v>31</v>
      </c>
      <c r="E628" s="0" t="n">
        <v>416</v>
      </c>
      <c r="F628" s="0" t="n">
        <v>1324</v>
      </c>
      <c r="G628" s="0" t="n">
        <v>10</v>
      </c>
      <c r="H628" s="0" t="n">
        <v>12</v>
      </c>
      <c r="I628" s="0" t="n">
        <v>12</v>
      </c>
      <c r="J628" s="0" t="n">
        <v>8</v>
      </c>
      <c r="K628" s="0" t="n">
        <v>0.7</v>
      </c>
      <c r="L628" s="1" t="n">
        <v>1324</v>
      </c>
      <c r="M628" s="0" t="n">
        <v>0</v>
      </c>
      <c r="N628" s="0" t="n">
        <v>1324</v>
      </c>
      <c r="O628" s="0" t="n">
        <v>51997</v>
      </c>
      <c r="P628" s="1" t="n">
        <v>25.44</v>
      </c>
      <c r="Q628" s="0" t="n">
        <v>0</v>
      </c>
      <c r="R628" s="0" t="n">
        <v>2</v>
      </c>
      <c r="S628" s="0" t="s">
        <v>42</v>
      </c>
      <c r="T628" s="0" t="str">
        <f aca="false">IF(L628="inf","False","True")</f>
        <v>True</v>
      </c>
      <c r="U628" s="0" t="str">
        <f aca="false">IF(V628="inf","False","True")</f>
        <v>True</v>
      </c>
      <c r="V628" s="4" t="n">
        <v>180696.76</v>
      </c>
      <c r="W628" s="4" t="n">
        <v>45004.81</v>
      </c>
      <c r="X628" s="0" t="n">
        <v>57.98</v>
      </c>
      <c r="Y628" s="5" t="n">
        <f aca="false">V628-L628</f>
        <v>179372.76</v>
      </c>
      <c r="Z628" s="6" t="n">
        <f aca="false">Y628/L628</f>
        <v>135.477915407855</v>
      </c>
      <c r="AA628" s="3" t="n">
        <f aca="false">X628-P628</f>
        <v>32.54</v>
      </c>
      <c r="AB628" s="6" t="n">
        <f aca="false">AA628/P628</f>
        <v>1.27908805031447</v>
      </c>
    </row>
    <row r="629" customFormat="false" ht="12.75" hidden="false" customHeight="false" outlineLevel="0" collapsed="false">
      <c r="A629" s="0" t="s">
        <v>728</v>
      </c>
      <c r="B629" s="0" t="n">
        <v>2</v>
      </c>
      <c r="C629" s="0" t="s">
        <v>31</v>
      </c>
      <c r="D629" s="0" t="s">
        <v>31</v>
      </c>
      <c r="E629" s="0" t="n">
        <v>416</v>
      </c>
      <c r="F629" s="0" t="n">
        <v>1220</v>
      </c>
      <c r="G629" s="0" t="n">
        <v>10</v>
      </c>
      <c r="H629" s="0" t="n">
        <v>12</v>
      </c>
      <c r="I629" s="0" t="n">
        <v>12</v>
      </c>
      <c r="J629" s="0" t="n">
        <v>8</v>
      </c>
      <c r="K629" s="0" t="n">
        <v>0.7</v>
      </c>
      <c r="L629" s="1" t="n">
        <v>1220</v>
      </c>
      <c r="M629" s="0" t="n">
        <v>0</v>
      </c>
      <c r="N629" s="0" t="n">
        <v>1220</v>
      </c>
      <c r="O629" s="0" t="n">
        <v>42294</v>
      </c>
      <c r="P629" s="1" t="n">
        <v>32.37</v>
      </c>
      <c r="Q629" s="0" t="n">
        <v>0</v>
      </c>
      <c r="R629" s="0" t="n">
        <v>1</v>
      </c>
      <c r="S629" s="0" t="s">
        <v>42</v>
      </c>
      <c r="T629" s="0" t="str">
        <f aca="false">IF(L629="inf","False","True")</f>
        <v>True</v>
      </c>
      <c r="U629" s="0" t="str">
        <f aca="false">IF(V629="inf","False","True")</f>
        <v>True</v>
      </c>
      <c r="V629" s="4" t="n">
        <v>105448.32</v>
      </c>
      <c r="W629" s="4" t="n">
        <v>42861.7</v>
      </c>
      <c r="X629" s="0" t="n">
        <v>581.63</v>
      </c>
      <c r="Y629" s="5" t="n">
        <f aca="false">V629-L629</f>
        <v>104228.32</v>
      </c>
      <c r="Z629" s="6" t="n">
        <f aca="false">Y629/L629</f>
        <v>85.4330491803279</v>
      </c>
      <c r="AA629" s="3" t="n">
        <f aca="false">X629-P629</f>
        <v>549.26</v>
      </c>
      <c r="AB629" s="6" t="n">
        <f aca="false">AA629/P629</f>
        <v>16.9681804139635</v>
      </c>
    </row>
    <row r="630" customFormat="false" ht="12.75" hidden="false" customHeight="false" outlineLevel="0" collapsed="false">
      <c r="A630" s="0" t="s">
        <v>729</v>
      </c>
      <c r="B630" s="0" t="n">
        <v>3</v>
      </c>
      <c r="C630" s="0" t="s">
        <v>31</v>
      </c>
      <c r="D630" s="0" t="s">
        <v>31</v>
      </c>
      <c r="E630" s="0" t="n">
        <v>416</v>
      </c>
      <c r="F630" s="0" t="n">
        <v>1214</v>
      </c>
      <c r="G630" s="0" t="n">
        <v>10</v>
      </c>
      <c r="H630" s="0" t="n">
        <v>12</v>
      </c>
      <c r="I630" s="0" t="n">
        <v>12</v>
      </c>
      <c r="J630" s="0" t="n">
        <v>8</v>
      </c>
      <c r="K630" s="0" t="n">
        <v>0.7</v>
      </c>
      <c r="L630" s="1" t="n">
        <v>1214</v>
      </c>
      <c r="M630" s="0" t="n">
        <v>0</v>
      </c>
      <c r="N630" s="0" t="n">
        <v>1214</v>
      </c>
      <c r="O630" s="0" t="n">
        <v>48186</v>
      </c>
      <c r="P630" s="1" t="n">
        <v>34.94</v>
      </c>
      <c r="Q630" s="0" t="n">
        <v>0</v>
      </c>
      <c r="R630" s="0" t="n">
        <v>1</v>
      </c>
      <c r="S630" s="0" t="s">
        <v>42</v>
      </c>
      <c r="T630" s="0" t="str">
        <f aca="false">IF(L630="inf","False","True")</f>
        <v>True</v>
      </c>
      <c r="U630" s="0" t="str">
        <f aca="false">IF(V630="inf","False","True")</f>
        <v>True</v>
      </c>
      <c r="V630" s="4" t="n">
        <v>125595.88</v>
      </c>
      <c r="W630" s="4" t="n">
        <v>42735.7</v>
      </c>
      <c r="X630" s="0" t="n">
        <v>175.18</v>
      </c>
      <c r="Y630" s="5" t="n">
        <f aca="false">V630-L630</f>
        <v>124381.88</v>
      </c>
      <c r="Z630" s="6" t="n">
        <f aca="false">Y630/L630</f>
        <v>102.456243822076</v>
      </c>
      <c r="AA630" s="3" t="n">
        <f aca="false">X630-P630</f>
        <v>140.24</v>
      </c>
      <c r="AB630" s="6" t="n">
        <f aca="false">AA630/P630</f>
        <v>4.01373783629079</v>
      </c>
    </row>
    <row r="631" customFormat="false" ht="12.75" hidden="false" customHeight="false" outlineLevel="0" collapsed="false">
      <c r="A631" s="0" t="s">
        <v>730</v>
      </c>
      <c r="B631" s="0" t="n">
        <v>4</v>
      </c>
      <c r="C631" s="0" t="s">
        <v>31</v>
      </c>
      <c r="D631" s="0" t="s">
        <v>31</v>
      </c>
      <c r="E631" s="0" t="n">
        <v>416</v>
      </c>
      <c r="F631" s="0" t="n">
        <v>1257</v>
      </c>
      <c r="G631" s="0" t="n">
        <v>10</v>
      </c>
      <c r="H631" s="0" t="n">
        <v>12</v>
      </c>
      <c r="I631" s="0" t="n">
        <v>12</v>
      </c>
      <c r="J631" s="0" t="n">
        <v>8</v>
      </c>
      <c r="K631" s="0" t="n">
        <v>0.7</v>
      </c>
      <c r="L631" s="1" t="n">
        <v>1250.6</v>
      </c>
      <c r="M631" s="0" t="n">
        <v>0</v>
      </c>
      <c r="N631" s="0" t="n">
        <v>1250.6</v>
      </c>
      <c r="O631" s="0" t="n">
        <v>49182</v>
      </c>
      <c r="P631" s="1" t="n">
        <v>18.29</v>
      </c>
      <c r="Q631" s="0" t="n">
        <v>0</v>
      </c>
      <c r="R631" s="0" t="n">
        <v>1</v>
      </c>
      <c r="S631" s="0" t="s">
        <v>42</v>
      </c>
      <c r="T631" s="0" t="str">
        <f aca="false">IF(L631="inf","False","True")</f>
        <v>True</v>
      </c>
      <c r="U631" s="0" t="str">
        <f aca="false">IF(V631="inf","False","True")</f>
        <v>False</v>
      </c>
      <c r="V631" s="4" t="s">
        <v>37</v>
      </c>
      <c r="W631" s="4" t="s">
        <v>37</v>
      </c>
      <c r="X631" s="0" t="n">
        <v>59.26</v>
      </c>
      <c r="Y631" s="5" t="e">
        <f aca="false">V631-L631</f>
        <v>#VALUE!</v>
      </c>
      <c r="Z631" s="6" t="e">
        <f aca="false">Y631/L631</f>
        <v>#VALUE!</v>
      </c>
      <c r="AA631" s="3" t="n">
        <f aca="false">X631-P631</f>
        <v>40.97</v>
      </c>
      <c r="AB631" s="6" t="n">
        <f aca="false">AA631/P631</f>
        <v>2.24002186987425</v>
      </c>
    </row>
    <row r="632" customFormat="false" ht="12.75" hidden="false" customHeight="false" outlineLevel="0" collapsed="false">
      <c r="A632" s="0" t="s">
        <v>731</v>
      </c>
      <c r="B632" s="0" t="n">
        <v>0</v>
      </c>
      <c r="C632" s="0" t="s">
        <v>31</v>
      </c>
      <c r="D632" s="0" t="s">
        <v>31</v>
      </c>
      <c r="E632" s="0" t="n">
        <v>583</v>
      </c>
      <c r="F632" s="0" t="n">
        <v>1724</v>
      </c>
      <c r="G632" s="0" t="n">
        <v>10</v>
      </c>
      <c r="H632" s="0" t="n">
        <v>12</v>
      </c>
      <c r="I632" s="0" t="n">
        <v>12</v>
      </c>
      <c r="J632" s="0" t="n">
        <v>8</v>
      </c>
      <c r="K632" s="0" t="n">
        <v>0.7</v>
      </c>
      <c r="L632" s="1" t="n">
        <v>1724</v>
      </c>
      <c r="M632" s="0" t="n">
        <v>0</v>
      </c>
      <c r="N632" s="0" t="n">
        <v>1724</v>
      </c>
      <c r="O632" s="0" t="n">
        <v>71102</v>
      </c>
      <c r="P632" s="1" t="n">
        <v>22.41</v>
      </c>
      <c r="Q632" s="0" t="n">
        <v>0</v>
      </c>
      <c r="R632" s="0" t="n">
        <v>1</v>
      </c>
      <c r="S632" s="0" t="s">
        <v>42</v>
      </c>
      <c r="T632" s="0" t="str">
        <f aca="false">IF(L632="inf","False","True")</f>
        <v>True</v>
      </c>
      <c r="U632" s="0" t="str">
        <f aca="false">IF(V632="inf","False","True")</f>
        <v>True</v>
      </c>
      <c r="V632" s="4" t="n">
        <v>240471.21</v>
      </c>
      <c r="W632" s="4" t="n">
        <v>63391.87</v>
      </c>
      <c r="X632" s="0" t="n">
        <v>165.57</v>
      </c>
      <c r="Y632" s="5" t="n">
        <f aca="false">V632-L632</f>
        <v>238747.21</v>
      </c>
      <c r="Z632" s="6" t="n">
        <f aca="false">Y632/L632</f>
        <v>138.484460556845</v>
      </c>
      <c r="AA632" s="3" t="n">
        <f aca="false">X632-P632</f>
        <v>143.16</v>
      </c>
      <c r="AB632" s="6" t="n">
        <f aca="false">AA632/P632</f>
        <v>6.38821954484605</v>
      </c>
    </row>
    <row r="633" customFormat="false" ht="12.75" hidden="false" customHeight="false" outlineLevel="0" collapsed="false">
      <c r="A633" s="0" t="s">
        <v>732</v>
      </c>
      <c r="B633" s="0" t="n">
        <v>1</v>
      </c>
      <c r="C633" s="0" t="s">
        <v>31</v>
      </c>
      <c r="D633" s="0" t="s">
        <v>31</v>
      </c>
      <c r="E633" s="0" t="n">
        <v>583</v>
      </c>
      <c r="F633" s="0" t="n">
        <v>1855</v>
      </c>
      <c r="G633" s="0" t="n">
        <v>10</v>
      </c>
      <c r="H633" s="0" t="n">
        <v>12</v>
      </c>
      <c r="I633" s="0" t="n">
        <v>12</v>
      </c>
      <c r="J633" s="0" t="n">
        <v>8</v>
      </c>
      <c r="K633" s="0" t="n">
        <v>0.7</v>
      </c>
      <c r="L633" s="1" t="n">
        <v>1855</v>
      </c>
      <c r="M633" s="0" t="n">
        <v>0</v>
      </c>
      <c r="N633" s="0" t="n">
        <v>1855</v>
      </c>
      <c r="O633" s="0" t="n">
        <v>72566</v>
      </c>
      <c r="P633" s="1" t="n">
        <v>29.44</v>
      </c>
      <c r="Q633" s="0" t="n">
        <v>0</v>
      </c>
      <c r="R633" s="0" t="n">
        <v>1</v>
      </c>
      <c r="S633" s="0" t="s">
        <v>42</v>
      </c>
      <c r="T633" s="0" t="str">
        <f aca="false">IF(L633="inf","False","True")</f>
        <v>True</v>
      </c>
      <c r="U633" s="0" t="str">
        <f aca="false">IF(V633="inf","False","True")</f>
        <v>True</v>
      </c>
      <c r="V633" s="4" t="n">
        <v>281435.11</v>
      </c>
      <c r="W633" s="4" t="n">
        <v>61476.88</v>
      </c>
      <c r="X633" s="0" t="n">
        <v>45.68</v>
      </c>
      <c r="Y633" s="5" t="n">
        <f aca="false">V633-L633</f>
        <v>279580.11</v>
      </c>
      <c r="Z633" s="6" t="n">
        <f aca="false">Y633/L633</f>
        <v>150.717040431267</v>
      </c>
      <c r="AA633" s="3" t="n">
        <f aca="false">X633-P633</f>
        <v>16.24</v>
      </c>
      <c r="AB633" s="6" t="n">
        <f aca="false">AA633/P633</f>
        <v>0.551630434782609</v>
      </c>
    </row>
    <row r="634" customFormat="false" ht="12.75" hidden="false" customHeight="false" outlineLevel="0" collapsed="false">
      <c r="A634" s="0" t="s">
        <v>733</v>
      </c>
      <c r="B634" s="0" t="n">
        <v>2</v>
      </c>
      <c r="C634" s="0" t="s">
        <v>31</v>
      </c>
      <c r="D634" s="0" t="s">
        <v>31</v>
      </c>
      <c r="E634" s="0" t="n">
        <v>583</v>
      </c>
      <c r="F634" s="0" t="n">
        <v>1711</v>
      </c>
      <c r="G634" s="0" t="n">
        <v>10</v>
      </c>
      <c r="H634" s="0" t="n">
        <v>12</v>
      </c>
      <c r="I634" s="0" t="n">
        <v>12</v>
      </c>
      <c r="J634" s="0" t="n">
        <v>8</v>
      </c>
      <c r="K634" s="0" t="n">
        <v>0.7</v>
      </c>
      <c r="L634" s="1" t="n">
        <v>1711</v>
      </c>
      <c r="M634" s="0" t="n">
        <v>0</v>
      </c>
      <c r="N634" s="0" t="n">
        <v>1711</v>
      </c>
      <c r="O634" s="0" t="n">
        <v>59224</v>
      </c>
      <c r="P634" s="1" t="n">
        <v>37.14</v>
      </c>
      <c r="Q634" s="0" t="n">
        <v>0</v>
      </c>
      <c r="R634" s="0" t="n">
        <v>1</v>
      </c>
      <c r="S634" s="0" t="s">
        <v>42</v>
      </c>
      <c r="T634" s="0" t="str">
        <f aca="false">IF(L634="inf","False","True")</f>
        <v>True</v>
      </c>
      <c r="U634" s="0" t="str">
        <f aca="false">IF(V634="inf","False","True")</f>
        <v>True</v>
      </c>
      <c r="V634" s="4" t="n">
        <v>213885.99</v>
      </c>
      <c r="W634" s="4" t="n">
        <v>56058</v>
      </c>
      <c r="X634" s="0" t="n">
        <v>16.44</v>
      </c>
      <c r="Y634" s="5" t="n">
        <f aca="false">V634-L634</f>
        <v>212174.99</v>
      </c>
      <c r="Z634" s="6" t="n">
        <f aca="false">Y634/L634</f>
        <v>124.00642314436</v>
      </c>
      <c r="AA634" s="3" t="n">
        <f aca="false">X634-P634</f>
        <v>-20.7</v>
      </c>
      <c r="AB634" s="6" t="n">
        <f aca="false">AA634/P634</f>
        <v>-0.55735056542811</v>
      </c>
    </row>
    <row r="635" customFormat="false" ht="12.75" hidden="false" customHeight="false" outlineLevel="0" collapsed="false">
      <c r="A635" s="0" t="s">
        <v>734</v>
      </c>
      <c r="B635" s="0" t="n">
        <v>3</v>
      </c>
      <c r="C635" s="0" t="s">
        <v>31</v>
      </c>
      <c r="D635" s="0" t="s">
        <v>31</v>
      </c>
      <c r="E635" s="0" t="n">
        <v>583</v>
      </c>
      <c r="F635" s="0" t="n">
        <v>1701</v>
      </c>
      <c r="G635" s="0" t="n">
        <v>10</v>
      </c>
      <c r="H635" s="0" t="n">
        <v>12</v>
      </c>
      <c r="I635" s="0" t="n">
        <v>12</v>
      </c>
      <c r="J635" s="0" t="n">
        <v>8</v>
      </c>
      <c r="K635" s="0" t="n">
        <v>0.7</v>
      </c>
      <c r="L635" s="1" t="n">
        <v>1701</v>
      </c>
      <c r="M635" s="0" t="n">
        <v>0</v>
      </c>
      <c r="N635" s="0" t="n">
        <v>1701</v>
      </c>
      <c r="O635" s="0" t="n">
        <v>67385</v>
      </c>
      <c r="P635" s="1" t="n">
        <v>38.97</v>
      </c>
      <c r="Q635" s="0" t="n">
        <v>0</v>
      </c>
      <c r="R635" s="0" t="n">
        <v>5</v>
      </c>
      <c r="S635" s="0" t="s">
        <v>42</v>
      </c>
      <c r="T635" s="0" t="str">
        <f aca="false">IF(L635="inf","False","True")</f>
        <v>True</v>
      </c>
      <c r="U635" s="0" t="str">
        <f aca="false">IF(V635="inf","False","True")</f>
        <v>True</v>
      </c>
      <c r="V635" s="4" t="n">
        <v>228707.09</v>
      </c>
      <c r="W635" s="4" t="n">
        <v>58288.41</v>
      </c>
      <c r="X635" s="0" t="n">
        <v>175.24</v>
      </c>
      <c r="Y635" s="5" t="n">
        <f aca="false">V635-L635</f>
        <v>227006.09</v>
      </c>
      <c r="Z635" s="6" t="n">
        <f aca="false">Y635/L635</f>
        <v>133.454491475603</v>
      </c>
      <c r="AA635" s="3" t="n">
        <f aca="false">X635-P635</f>
        <v>136.27</v>
      </c>
      <c r="AB635" s="6" t="n">
        <f aca="false">AA635/P635</f>
        <v>3.49679240441365</v>
      </c>
    </row>
    <row r="636" customFormat="false" ht="12.75" hidden="false" customHeight="false" outlineLevel="0" collapsed="false">
      <c r="A636" s="0" t="s">
        <v>735</v>
      </c>
      <c r="B636" s="0" t="n">
        <v>4</v>
      </c>
      <c r="C636" s="0" t="s">
        <v>31</v>
      </c>
      <c r="D636" s="0" t="s">
        <v>31</v>
      </c>
      <c r="E636" s="0" t="n">
        <v>583</v>
      </c>
      <c r="F636" s="0" t="n">
        <v>1761</v>
      </c>
      <c r="G636" s="0" t="n">
        <v>10</v>
      </c>
      <c r="H636" s="0" t="n">
        <v>12</v>
      </c>
      <c r="I636" s="0" t="n">
        <v>12</v>
      </c>
      <c r="J636" s="0" t="n">
        <v>8</v>
      </c>
      <c r="K636" s="0" t="n">
        <v>0.7</v>
      </c>
      <c r="L636" s="1" t="n">
        <v>1761</v>
      </c>
      <c r="M636" s="0" t="n">
        <v>0</v>
      </c>
      <c r="N636" s="0" t="n">
        <v>1761</v>
      </c>
      <c r="O636" s="0" t="n">
        <v>68822</v>
      </c>
      <c r="P636" s="1" t="n">
        <v>20.64</v>
      </c>
      <c r="Q636" s="0" t="n">
        <v>0</v>
      </c>
      <c r="R636" s="0" t="n">
        <v>1</v>
      </c>
      <c r="S636" s="0" t="s">
        <v>42</v>
      </c>
      <c r="T636" s="0" t="str">
        <f aca="false">IF(L636="inf","False","True")</f>
        <v>True</v>
      </c>
      <c r="U636" s="0" t="str">
        <f aca="false">IF(V636="inf","False","True")</f>
        <v>False</v>
      </c>
      <c r="V636" s="4" t="s">
        <v>37</v>
      </c>
      <c r="W636" s="4" t="s">
        <v>37</v>
      </c>
      <c r="X636" s="0" t="n">
        <v>61.06</v>
      </c>
      <c r="Y636" s="5" t="e">
        <f aca="false">V636-L636</f>
        <v>#VALUE!</v>
      </c>
      <c r="Z636" s="6" t="e">
        <f aca="false">Y636/L636</f>
        <v>#VALUE!</v>
      </c>
      <c r="AA636" s="3" t="n">
        <f aca="false">X636-P636</f>
        <v>40.42</v>
      </c>
      <c r="AB636" s="6" t="n">
        <f aca="false">AA636/P636</f>
        <v>1.95833333333333</v>
      </c>
    </row>
    <row r="637" customFormat="false" ht="12.75" hidden="false" customHeight="false" outlineLevel="0" collapsed="false">
      <c r="A637" s="0" t="s">
        <v>736</v>
      </c>
      <c r="B637" s="0" t="n">
        <v>0</v>
      </c>
      <c r="C637" s="0" t="s">
        <v>31</v>
      </c>
      <c r="D637" s="0" t="s">
        <v>31</v>
      </c>
      <c r="E637" s="0" t="n">
        <v>833</v>
      </c>
      <c r="F637" s="0" t="n">
        <v>2468</v>
      </c>
      <c r="G637" s="0" t="n">
        <v>10</v>
      </c>
      <c r="H637" s="0" t="n">
        <v>12</v>
      </c>
      <c r="I637" s="0" t="n">
        <v>12</v>
      </c>
      <c r="J637" s="0" t="n">
        <v>8</v>
      </c>
      <c r="K637" s="0" t="n">
        <v>0.7</v>
      </c>
      <c r="L637" s="1" t="n">
        <v>2468</v>
      </c>
      <c r="M637" s="0" t="n">
        <v>0</v>
      </c>
      <c r="N637" s="0" t="n">
        <v>2468</v>
      </c>
      <c r="O637" s="0" t="n">
        <v>101579</v>
      </c>
      <c r="P637" s="1" t="n">
        <v>21.44</v>
      </c>
      <c r="Q637" s="0" t="n">
        <v>0</v>
      </c>
      <c r="R637" s="0" t="n">
        <v>1</v>
      </c>
      <c r="S637" s="0" t="s">
        <v>42</v>
      </c>
      <c r="T637" s="0" t="str">
        <f aca="false">IF(L637="inf","False","True")</f>
        <v>True</v>
      </c>
      <c r="U637" s="0" t="str">
        <f aca="false">IF(V637="inf","False","True")</f>
        <v>True</v>
      </c>
      <c r="V637" s="4" t="n">
        <v>413860.67</v>
      </c>
      <c r="W637" s="4" t="n">
        <v>91219.22</v>
      </c>
      <c r="X637" s="0" t="n">
        <v>210.21</v>
      </c>
      <c r="Y637" s="5" t="n">
        <f aca="false">V637-L637</f>
        <v>411392.67</v>
      </c>
      <c r="Z637" s="6" t="n">
        <f aca="false">Y637/L637</f>
        <v>166.690709076175</v>
      </c>
      <c r="AA637" s="3" t="n">
        <f aca="false">X637-P637</f>
        <v>188.77</v>
      </c>
      <c r="AB637" s="6" t="n">
        <f aca="false">AA637/P637</f>
        <v>8.80457089552239</v>
      </c>
    </row>
    <row r="638" customFormat="false" ht="12.75" hidden="false" customHeight="false" outlineLevel="0" collapsed="false">
      <c r="A638" s="0" t="s">
        <v>737</v>
      </c>
      <c r="B638" s="0" t="n">
        <v>1</v>
      </c>
      <c r="C638" s="0" t="s">
        <v>31</v>
      </c>
      <c r="D638" s="0" t="s">
        <v>31</v>
      </c>
      <c r="E638" s="0" t="n">
        <v>833</v>
      </c>
      <c r="F638" s="0" t="n">
        <v>2656</v>
      </c>
      <c r="G638" s="0" t="n">
        <v>10</v>
      </c>
      <c r="H638" s="0" t="n">
        <v>12</v>
      </c>
      <c r="I638" s="0" t="n">
        <v>12</v>
      </c>
      <c r="J638" s="0" t="n">
        <v>8</v>
      </c>
      <c r="K638" s="0" t="n">
        <v>0.7</v>
      </c>
      <c r="L638" s="1" t="n">
        <v>2656</v>
      </c>
      <c r="M638" s="0" t="n">
        <v>0</v>
      </c>
      <c r="N638" s="0" t="n">
        <v>2656</v>
      </c>
      <c r="O638" s="0" t="n">
        <v>103668</v>
      </c>
      <c r="P638" s="1" t="n">
        <v>37.58</v>
      </c>
      <c r="Q638" s="0" t="n">
        <v>0</v>
      </c>
      <c r="R638" s="0" t="n">
        <v>5</v>
      </c>
      <c r="S638" s="0" t="s">
        <v>42</v>
      </c>
      <c r="T638" s="0" t="str">
        <f aca="false">IF(L638="inf","False","True")</f>
        <v>True</v>
      </c>
      <c r="U638" s="0" t="str">
        <f aca="false">IF(V638="inf","False","True")</f>
        <v>False</v>
      </c>
      <c r="V638" s="4" t="s">
        <v>37</v>
      </c>
      <c r="W638" s="4" t="s">
        <v>37</v>
      </c>
      <c r="X638" s="0" t="n">
        <v>60.83</v>
      </c>
      <c r="Y638" s="5" t="e">
        <f aca="false">V638-L638</f>
        <v>#VALUE!</v>
      </c>
      <c r="Z638" s="6" t="e">
        <f aca="false">Y638/L638</f>
        <v>#VALUE!</v>
      </c>
      <c r="AA638" s="3" t="n">
        <f aca="false">X638-P638</f>
        <v>23.25</v>
      </c>
      <c r="AB638" s="6" t="n">
        <f aca="false">AA638/P638</f>
        <v>0.618680149015434</v>
      </c>
    </row>
    <row r="639" customFormat="false" ht="12.75" hidden="false" customHeight="false" outlineLevel="0" collapsed="false">
      <c r="A639" s="0" t="s">
        <v>738</v>
      </c>
      <c r="B639" s="0" t="n">
        <v>2</v>
      </c>
      <c r="C639" s="0" t="s">
        <v>31</v>
      </c>
      <c r="D639" s="0" t="s">
        <v>31</v>
      </c>
      <c r="E639" s="0" t="n">
        <v>833</v>
      </c>
      <c r="F639" s="0" t="n">
        <v>2450</v>
      </c>
      <c r="G639" s="0" t="n">
        <v>10</v>
      </c>
      <c r="H639" s="0" t="n">
        <v>12</v>
      </c>
      <c r="I639" s="0" t="n">
        <v>12</v>
      </c>
      <c r="J639" s="0" t="n">
        <v>8</v>
      </c>
      <c r="K639" s="0" t="n">
        <v>0.7</v>
      </c>
      <c r="L639" s="1" t="n">
        <v>2450</v>
      </c>
      <c r="M639" s="0" t="n">
        <v>0</v>
      </c>
      <c r="N639" s="0" t="n">
        <v>2450</v>
      </c>
      <c r="O639" s="0" t="n">
        <v>85082</v>
      </c>
      <c r="P639" s="1" t="n">
        <v>44.11</v>
      </c>
      <c r="Q639" s="0" t="n">
        <v>0</v>
      </c>
      <c r="R639" s="0" t="n">
        <v>2</v>
      </c>
      <c r="S639" s="0" t="s">
        <v>42</v>
      </c>
      <c r="T639" s="0" t="str">
        <f aca="false">IF(L639="inf","False","True")</f>
        <v>True</v>
      </c>
      <c r="U639" s="0" t="str">
        <f aca="false">IF(V639="inf","False","True")</f>
        <v>True</v>
      </c>
      <c r="V639" s="4" t="n">
        <v>227849.34</v>
      </c>
      <c r="W639" s="4" t="n">
        <v>78852.4</v>
      </c>
      <c r="X639" s="0" t="n">
        <v>20.52</v>
      </c>
      <c r="Y639" s="5" t="n">
        <f aca="false">V639-L639</f>
        <v>225399.34</v>
      </c>
      <c r="Z639" s="6" t="n">
        <f aca="false">Y639/L639</f>
        <v>91.9997306122449</v>
      </c>
      <c r="AA639" s="3" t="n">
        <f aca="false">X639-P639</f>
        <v>-23.59</v>
      </c>
      <c r="AB639" s="6" t="n">
        <f aca="false">AA639/P639</f>
        <v>-0.534799365223305</v>
      </c>
    </row>
    <row r="640" customFormat="false" ht="12.75" hidden="false" customHeight="false" outlineLevel="0" collapsed="false">
      <c r="A640" s="0" t="s">
        <v>739</v>
      </c>
      <c r="B640" s="0" t="n">
        <v>3</v>
      </c>
      <c r="C640" s="0" t="s">
        <v>31</v>
      </c>
      <c r="D640" s="0" t="s">
        <v>31</v>
      </c>
      <c r="E640" s="0" t="n">
        <v>833</v>
      </c>
      <c r="F640" s="0" t="n">
        <v>2438</v>
      </c>
      <c r="G640" s="0" t="n">
        <v>10</v>
      </c>
      <c r="H640" s="0" t="n">
        <v>12</v>
      </c>
      <c r="I640" s="0" t="n">
        <v>12</v>
      </c>
      <c r="J640" s="0" t="n">
        <v>8</v>
      </c>
      <c r="K640" s="0" t="n">
        <v>0.7</v>
      </c>
      <c r="L640" s="1" t="n">
        <v>2438</v>
      </c>
      <c r="M640" s="0" t="n">
        <v>0</v>
      </c>
      <c r="N640" s="0" t="n">
        <v>2438</v>
      </c>
      <c r="O640" s="0" t="n">
        <v>96264</v>
      </c>
      <c r="P640" s="1" t="n">
        <v>36.19</v>
      </c>
      <c r="Q640" s="0" t="n">
        <v>0</v>
      </c>
      <c r="R640" s="0" t="n">
        <v>1</v>
      </c>
      <c r="S640" s="0" t="s">
        <v>42</v>
      </c>
      <c r="T640" s="0" t="str">
        <f aca="false">IF(L640="inf","False","True")</f>
        <v>True</v>
      </c>
      <c r="U640" s="0" t="str">
        <f aca="false">IF(V640="inf","False","True")</f>
        <v>True</v>
      </c>
      <c r="V640" s="4" t="n">
        <v>153406.26</v>
      </c>
      <c r="W640" s="4" t="n">
        <v>85890.09</v>
      </c>
      <c r="X640" s="0" t="n">
        <v>351.76</v>
      </c>
      <c r="Y640" s="5" t="n">
        <f aca="false">V640-L640</f>
        <v>150968.26</v>
      </c>
      <c r="Z640" s="6" t="n">
        <f aca="false">Y640/L640</f>
        <v>61.9229942575882</v>
      </c>
      <c r="AA640" s="3" t="n">
        <f aca="false">X640-P640</f>
        <v>315.57</v>
      </c>
      <c r="AB640" s="6" t="n">
        <f aca="false">AA640/P640</f>
        <v>8.71981210279083</v>
      </c>
    </row>
    <row r="641" customFormat="false" ht="12.75" hidden="false" customHeight="false" outlineLevel="0" collapsed="false">
      <c r="A641" s="0" t="s">
        <v>740</v>
      </c>
      <c r="B641" s="0" t="n">
        <v>4</v>
      </c>
      <c r="C641" s="0" t="s">
        <v>31</v>
      </c>
      <c r="D641" s="0" t="s">
        <v>31</v>
      </c>
      <c r="E641" s="0" t="n">
        <v>833</v>
      </c>
      <c r="F641" s="0" t="n">
        <v>2524</v>
      </c>
      <c r="G641" s="0" t="n">
        <v>10</v>
      </c>
      <c r="H641" s="0" t="n">
        <v>12</v>
      </c>
      <c r="I641" s="0" t="n">
        <v>12</v>
      </c>
      <c r="J641" s="0" t="n">
        <v>8</v>
      </c>
      <c r="K641" s="0" t="n">
        <v>0.7</v>
      </c>
      <c r="L641" s="1" t="n">
        <v>2524</v>
      </c>
      <c r="M641" s="0" t="n">
        <v>0</v>
      </c>
      <c r="N641" s="0" t="n">
        <v>2524</v>
      </c>
      <c r="O641" s="0" t="n">
        <v>98320</v>
      </c>
      <c r="P641" s="1" t="n">
        <v>22.4</v>
      </c>
      <c r="Q641" s="0" t="n">
        <v>0</v>
      </c>
      <c r="R641" s="0" t="n">
        <v>1</v>
      </c>
      <c r="S641" s="0" t="s">
        <v>42</v>
      </c>
      <c r="T641" s="0" t="str">
        <f aca="false">IF(L641="inf","False","True")</f>
        <v>True</v>
      </c>
      <c r="U641" s="0" t="str">
        <f aca="false">IF(V641="inf","False","True")</f>
        <v>True</v>
      </c>
      <c r="V641" s="4" t="n">
        <v>286029.08</v>
      </c>
      <c r="W641" s="4" t="n">
        <v>89041.33</v>
      </c>
      <c r="X641" s="0" t="n">
        <v>23.82</v>
      </c>
      <c r="Y641" s="5" t="n">
        <f aca="false">V641-L641</f>
        <v>283505.08</v>
      </c>
      <c r="Z641" s="6" t="n">
        <f aca="false">Y641/L641</f>
        <v>112.323724247227</v>
      </c>
      <c r="AA641" s="3" t="n">
        <f aca="false">X641-P641</f>
        <v>1.42</v>
      </c>
      <c r="AB641" s="6" t="n">
        <f aca="false">AA641/P641</f>
        <v>0.0633928571428572</v>
      </c>
    </row>
    <row r="642" customFormat="false" ht="12.75" hidden="false" customHeight="false" outlineLevel="0" collapsed="false">
      <c r="A642" s="0" t="s">
        <v>741</v>
      </c>
      <c r="B642" s="0" t="n">
        <v>0</v>
      </c>
      <c r="C642" s="0" t="s">
        <v>31</v>
      </c>
      <c r="D642" s="0" t="s">
        <v>31</v>
      </c>
      <c r="E642" s="0" t="n">
        <v>250</v>
      </c>
      <c r="F642" s="0" t="n">
        <v>766</v>
      </c>
      <c r="G642" s="0" t="n">
        <v>10</v>
      </c>
      <c r="H642" s="0" t="n">
        <v>12</v>
      </c>
      <c r="I642" s="0" t="n">
        <v>12</v>
      </c>
      <c r="J642" s="0" t="n">
        <v>12</v>
      </c>
      <c r="K642" s="0" t="n">
        <v>0.7</v>
      </c>
      <c r="L642" s="1" t="n">
        <v>132414.05</v>
      </c>
      <c r="M642" s="0" t="n">
        <v>131717.48</v>
      </c>
      <c r="N642" s="0" t="n">
        <v>696.57</v>
      </c>
      <c r="O642" s="0" t="n">
        <v>25340.41</v>
      </c>
      <c r="P642" s="1" t="n">
        <v>649.31</v>
      </c>
      <c r="Q642" s="0" t="n">
        <v>0.02</v>
      </c>
      <c r="R642" s="0" t="n">
        <v>5</v>
      </c>
      <c r="S642" s="0" t="s">
        <v>742</v>
      </c>
      <c r="T642" s="0" t="str">
        <f aca="false">IF(L642="inf","False","True")</f>
        <v>True</v>
      </c>
      <c r="U642" s="0" t="str">
        <f aca="false">IF(V642="inf","False","True")</f>
        <v>False</v>
      </c>
      <c r="V642" s="4" t="s">
        <v>37</v>
      </c>
      <c r="W642" s="4" t="s">
        <v>37</v>
      </c>
      <c r="X642" s="0" t="n">
        <v>67.14</v>
      </c>
      <c r="Y642" s="5" t="e">
        <f aca="false">V642-L642</f>
        <v>#VALUE!</v>
      </c>
      <c r="Z642" s="6" t="e">
        <f aca="false">Y642/L642</f>
        <v>#VALUE!</v>
      </c>
      <c r="AA642" s="3" t="n">
        <f aca="false">X642-P642</f>
        <v>-582.17</v>
      </c>
      <c r="AB642" s="6" t="n">
        <f aca="false">AA642/P642</f>
        <v>-0.896597927030232</v>
      </c>
    </row>
    <row r="643" customFormat="false" ht="12.75" hidden="false" customHeight="false" outlineLevel="0" collapsed="false">
      <c r="A643" s="0" t="s">
        <v>743</v>
      </c>
      <c r="B643" s="0" t="n">
        <v>1</v>
      </c>
      <c r="C643" s="0" t="s">
        <v>31</v>
      </c>
      <c r="D643" s="0" t="s">
        <v>31</v>
      </c>
      <c r="E643" s="0" t="n">
        <v>250</v>
      </c>
      <c r="F643" s="0" t="n">
        <v>797</v>
      </c>
      <c r="G643" s="0" t="n">
        <v>10</v>
      </c>
      <c r="H643" s="0" t="n">
        <v>12</v>
      </c>
      <c r="I643" s="0" t="n">
        <v>12</v>
      </c>
      <c r="J643" s="0" t="n">
        <v>12</v>
      </c>
      <c r="K643" s="0" t="n">
        <v>0.7</v>
      </c>
      <c r="L643" s="1" t="n">
        <v>797</v>
      </c>
      <c r="M643" s="0" t="n">
        <v>0</v>
      </c>
      <c r="N643" s="0" t="n">
        <v>797</v>
      </c>
      <c r="O643" s="0" t="n">
        <v>30196</v>
      </c>
      <c r="P643" s="1" t="n">
        <v>95.27</v>
      </c>
      <c r="Q643" s="0" t="n">
        <v>0</v>
      </c>
      <c r="R643" s="0" t="n">
        <v>1</v>
      </c>
      <c r="S643" s="0" t="s">
        <v>42</v>
      </c>
      <c r="T643" s="0" t="str">
        <f aca="false">IF(L643="inf","False","True")</f>
        <v>True</v>
      </c>
      <c r="U643" s="0" t="str">
        <f aca="false">IF(V643="inf","False","True")</f>
        <v>True</v>
      </c>
      <c r="V643" s="4" t="n">
        <v>79215.82</v>
      </c>
      <c r="W643" s="4" t="n">
        <v>25722.33</v>
      </c>
      <c r="X643" s="0" t="n">
        <v>222.94</v>
      </c>
      <c r="Y643" s="5" t="n">
        <f aca="false">V643-L643</f>
        <v>78418.82</v>
      </c>
      <c r="Z643" s="6" t="n">
        <f aca="false">Y643/L643</f>
        <v>98.3924968632371</v>
      </c>
      <c r="AA643" s="3" t="n">
        <f aca="false">X643-P643</f>
        <v>127.67</v>
      </c>
      <c r="AB643" s="6" t="n">
        <f aca="false">AA643/P643</f>
        <v>1.34008607116616</v>
      </c>
    </row>
    <row r="644" customFormat="false" ht="12.75" hidden="false" customHeight="false" outlineLevel="0" collapsed="false">
      <c r="A644" s="0" t="s">
        <v>744</v>
      </c>
      <c r="B644" s="0" t="n">
        <v>2</v>
      </c>
      <c r="C644" s="0" t="s">
        <v>31</v>
      </c>
      <c r="D644" s="0" t="s">
        <v>31</v>
      </c>
      <c r="E644" s="0" t="n">
        <v>250</v>
      </c>
      <c r="F644" s="0" t="n">
        <v>784</v>
      </c>
      <c r="G644" s="0" t="n">
        <v>10</v>
      </c>
      <c r="H644" s="0" t="n">
        <v>12</v>
      </c>
      <c r="I644" s="0" t="n">
        <v>12</v>
      </c>
      <c r="J644" s="0" t="n">
        <v>12</v>
      </c>
      <c r="K644" s="0" t="n">
        <v>0.7</v>
      </c>
      <c r="L644" s="1" t="n">
        <v>118430.42</v>
      </c>
      <c r="M644" s="0" t="n">
        <v>117731.81</v>
      </c>
      <c r="N644" s="0" t="n">
        <v>698.61</v>
      </c>
      <c r="O644" s="0" t="n">
        <v>25603.26</v>
      </c>
      <c r="P644" s="1" t="n">
        <v>696.75</v>
      </c>
      <c r="Q644" s="0" t="n">
        <v>0</v>
      </c>
      <c r="R644" s="0" t="n">
        <v>2</v>
      </c>
      <c r="S644" s="0" t="s">
        <v>32</v>
      </c>
      <c r="T644" s="0" t="str">
        <f aca="false">IF(L644="inf","False","True")</f>
        <v>True</v>
      </c>
      <c r="U644" s="0" t="str">
        <f aca="false">IF(V644="inf","False","True")</f>
        <v>True</v>
      </c>
      <c r="V644" s="4" t="n">
        <v>100780.07</v>
      </c>
      <c r="W644" s="4" t="n">
        <v>26289.11</v>
      </c>
      <c r="X644" s="0" t="n">
        <v>117.15</v>
      </c>
      <c r="Y644" s="5" t="n">
        <f aca="false">V644-L644</f>
        <v>-17650.35</v>
      </c>
      <c r="Z644" s="6" t="n">
        <f aca="false">Y644/L644</f>
        <v>-0.149035610951983</v>
      </c>
      <c r="AA644" s="3" t="n">
        <f aca="false">X644-P644</f>
        <v>-579.6</v>
      </c>
      <c r="AB644" s="6" t="n">
        <f aca="false">AA644/P644</f>
        <v>-0.831862217438106</v>
      </c>
    </row>
    <row r="645" customFormat="false" ht="12.75" hidden="false" customHeight="false" outlineLevel="0" collapsed="false">
      <c r="A645" s="0" t="s">
        <v>745</v>
      </c>
      <c r="B645" s="0" t="n">
        <v>3</v>
      </c>
      <c r="C645" s="0" t="s">
        <v>31</v>
      </c>
      <c r="D645" s="0" t="s">
        <v>31</v>
      </c>
      <c r="E645" s="0" t="n">
        <v>250</v>
      </c>
      <c r="F645" s="0" t="n">
        <v>783</v>
      </c>
      <c r="G645" s="0" t="n">
        <v>10</v>
      </c>
      <c r="H645" s="0" t="n">
        <v>12</v>
      </c>
      <c r="I645" s="0" t="n">
        <v>12</v>
      </c>
      <c r="J645" s="0" t="n">
        <v>12</v>
      </c>
      <c r="K645" s="0" t="n">
        <v>0.7</v>
      </c>
      <c r="L645" s="1" t="n">
        <v>783</v>
      </c>
      <c r="M645" s="0" t="n">
        <v>0</v>
      </c>
      <c r="N645" s="0" t="n">
        <v>783</v>
      </c>
      <c r="O645" s="0" t="n">
        <v>29068</v>
      </c>
      <c r="P645" s="1" t="n">
        <v>57.04</v>
      </c>
      <c r="Q645" s="0" t="n">
        <v>0</v>
      </c>
      <c r="R645" s="0" t="n">
        <v>2</v>
      </c>
      <c r="S645" s="0" t="s">
        <v>42</v>
      </c>
      <c r="T645" s="0" t="str">
        <f aca="false">IF(L645="inf","False","True")</f>
        <v>True</v>
      </c>
      <c r="U645" s="0" t="str">
        <f aca="false">IF(V645="inf","False","True")</f>
        <v>True</v>
      </c>
      <c r="V645" s="4" t="n">
        <v>104008.27</v>
      </c>
      <c r="W645" s="4" t="n">
        <v>25554.26</v>
      </c>
      <c r="X645" s="0" t="n">
        <v>105.27</v>
      </c>
      <c r="Y645" s="5" t="n">
        <f aca="false">V645-L645</f>
        <v>103225.27</v>
      </c>
      <c r="Z645" s="6" t="n">
        <f aca="false">Y645/L645</f>
        <v>131.833039591315</v>
      </c>
      <c r="AA645" s="3" t="n">
        <f aca="false">X645-P645</f>
        <v>48.23</v>
      </c>
      <c r="AB645" s="6" t="n">
        <f aca="false">AA645/P645</f>
        <v>0.84554698457223</v>
      </c>
    </row>
    <row r="646" customFormat="false" ht="12.75" hidden="false" customHeight="false" outlineLevel="0" collapsed="false">
      <c r="A646" s="0" t="s">
        <v>746</v>
      </c>
      <c r="B646" s="0" t="n">
        <v>4</v>
      </c>
      <c r="C646" s="0" t="s">
        <v>31</v>
      </c>
      <c r="D646" s="0" t="s">
        <v>31</v>
      </c>
      <c r="E646" s="0" t="n">
        <v>250</v>
      </c>
      <c r="F646" s="0" t="n">
        <v>804</v>
      </c>
      <c r="G646" s="0" t="n">
        <v>10</v>
      </c>
      <c r="H646" s="0" t="n">
        <v>12</v>
      </c>
      <c r="I646" s="0" t="n">
        <v>12</v>
      </c>
      <c r="J646" s="0" t="n">
        <v>12</v>
      </c>
      <c r="K646" s="0" t="n">
        <v>0.7</v>
      </c>
      <c r="L646" s="1" t="n">
        <v>804</v>
      </c>
      <c r="M646" s="0" t="n">
        <v>0</v>
      </c>
      <c r="N646" s="0" t="n">
        <v>804</v>
      </c>
      <c r="O646" s="0" t="n">
        <v>29917</v>
      </c>
      <c r="P646" s="1" t="n">
        <v>61.89</v>
      </c>
      <c r="Q646" s="0" t="n">
        <v>0</v>
      </c>
      <c r="R646" s="0" t="n">
        <v>5</v>
      </c>
      <c r="S646" s="0" t="s">
        <v>42</v>
      </c>
      <c r="T646" s="0" t="str">
        <f aca="false">IF(L646="inf","False","True")</f>
        <v>True</v>
      </c>
      <c r="U646" s="0" t="str">
        <f aca="false">IF(V646="inf","False","True")</f>
        <v>True</v>
      </c>
      <c r="V646" s="4" t="n">
        <v>57685.87</v>
      </c>
      <c r="W646" s="4" t="n">
        <v>26226.49</v>
      </c>
      <c r="X646" s="0" t="n">
        <v>104.68</v>
      </c>
      <c r="Y646" s="5" t="n">
        <f aca="false">V646-L646</f>
        <v>56881.87</v>
      </c>
      <c r="Z646" s="6" t="n">
        <f aca="false">Y646/L646</f>
        <v>70.7485945273632</v>
      </c>
      <c r="AA646" s="3" t="n">
        <f aca="false">X646-P646</f>
        <v>42.79</v>
      </c>
      <c r="AB646" s="6" t="n">
        <f aca="false">AA646/P646</f>
        <v>0.691387946356439</v>
      </c>
    </row>
    <row r="647" customFormat="false" ht="12.75" hidden="false" customHeight="false" outlineLevel="0" collapsed="false">
      <c r="A647" s="0" t="s">
        <v>747</v>
      </c>
      <c r="B647" s="0" t="n">
        <v>0</v>
      </c>
      <c r="C647" s="0" t="s">
        <v>31</v>
      </c>
      <c r="D647" s="0" t="s">
        <v>31</v>
      </c>
      <c r="E647" s="0" t="n">
        <v>416</v>
      </c>
      <c r="F647" s="0" t="n">
        <v>1280</v>
      </c>
      <c r="G647" s="0" t="n">
        <v>10</v>
      </c>
      <c r="H647" s="0" t="n">
        <v>12</v>
      </c>
      <c r="I647" s="0" t="n">
        <v>12</v>
      </c>
      <c r="J647" s="0" t="n">
        <v>12</v>
      </c>
      <c r="K647" s="0" t="n">
        <v>0.7</v>
      </c>
      <c r="L647" s="1" t="n">
        <v>210080.78</v>
      </c>
      <c r="M647" s="0" t="n">
        <v>208929.35</v>
      </c>
      <c r="N647" s="0" t="n">
        <v>1151.43</v>
      </c>
      <c r="O647" s="0" t="n">
        <v>41512.77</v>
      </c>
      <c r="P647" s="1" t="n">
        <v>647.71</v>
      </c>
      <c r="Q647" s="0" t="n">
        <v>0</v>
      </c>
      <c r="R647" s="0" t="n">
        <v>6</v>
      </c>
      <c r="S647" s="0" t="s">
        <v>32</v>
      </c>
      <c r="T647" s="0" t="str">
        <f aca="false">IF(L647="inf","False","True")</f>
        <v>True</v>
      </c>
      <c r="U647" s="0" t="str">
        <f aca="false">IF(V647="inf","False","True")</f>
        <v>False</v>
      </c>
      <c r="V647" s="4" t="s">
        <v>37</v>
      </c>
      <c r="W647" s="4" t="s">
        <v>37</v>
      </c>
      <c r="X647" s="0" t="n">
        <v>65.67</v>
      </c>
      <c r="Y647" s="5" t="e">
        <f aca="false">V647-L647</f>
        <v>#VALUE!</v>
      </c>
      <c r="Z647" s="6" t="e">
        <f aca="false">Y647/L647</f>
        <v>#VALUE!</v>
      </c>
      <c r="AA647" s="3" t="n">
        <f aca="false">X647-P647</f>
        <v>-582.04</v>
      </c>
      <c r="AB647" s="6" t="n">
        <f aca="false">AA647/P647</f>
        <v>-0.89861203316299</v>
      </c>
    </row>
    <row r="648" customFormat="false" ht="12.75" hidden="false" customHeight="false" outlineLevel="0" collapsed="false">
      <c r="A648" s="0" t="s">
        <v>748</v>
      </c>
      <c r="B648" s="0" t="n">
        <v>1</v>
      </c>
      <c r="C648" s="0" t="s">
        <v>31</v>
      </c>
      <c r="D648" s="0" t="s">
        <v>31</v>
      </c>
      <c r="E648" s="0" t="n">
        <v>416</v>
      </c>
      <c r="F648" s="0" t="n">
        <v>1331</v>
      </c>
      <c r="G648" s="0" t="n">
        <v>10</v>
      </c>
      <c r="H648" s="0" t="n">
        <v>12</v>
      </c>
      <c r="I648" s="0" t="n">
        <v>12</v>
      </c>
      <c r="J648" s="0" t="n">
        <v>12</v>
      </c>
      <c r="K648" s="0" t="n">
        <v>0.7</v>
      </c>
      <c r="L648" s="1" t="n">
        <v>1331</v>
      </c>
      <c r="M648" s="0" t="n">
        <v>0</v>
      </c>
      <c r="N648" s="0" t="n">
        <v>1331</v>
      </c>
      <c r="O648" s="0" t="n">
        <v>50301</v>
      </c>
      <c r="P648" s="1" t="n">
        <v>117.92</v>
      </c>
      <c r="Q648" s="0" t="n">
        <v>0</v>
      </c>
      <c r="R648" s="0" t="n">
        <v>5</v>
      </c>
      <c r="S648" s="0" t="s">
        <v>42</v>
      </c>
      <c r="T648" s="0" t="str">
        <f aca="false">IF(L648="inf","False","True")</f>
        <v>True</v>
      </c>
      <c r="U648" s="0" t="str">
        <f aca="false">IF(V648="inf","False","True")</f>
        <v>True</v>
      </c>
      <c r="V648" s="4" t="n">
        <v>126658.28</v>
      </c>
      <c r="W648" s="4" t="n">
        <v>43592.27</v>
      </c>
      <c r="X648" s="0" t="n">
        <v>121.62</v>
      </c>
      <c r="Y648" s="5" t="n">
        <f aca="false">V648-L648</f>
        <v>125327.28</v>
      </c>
      <c r="Z648" s="6" t="n">
        <f aca="false">Y648/L648</f>
        <v>94.1602404207363</v>
      </c>
      <c r="AA648" s="3" t="n">
        <f aca="false">X648-P648</f>
        <v>3.7</v>
      </c>
      <c r="AB648" s="6" t="n">
        <f aca="false">AA648/P648</f>
        <v>0.0313772048846676</v>
      </c>
    </row>
    <row r="649" customFormat="false" ht="12.75" hidden="false" customHeight="false" outlineLevel="0" collapsed="false">
      <c r="A649" s="0" t="s">
        <v>749</v>
      </c>
      <c r="B649" s="0" t="n">
        <v>2</v>
      </c>
      <c r="C649" s="0" t="s">
        <v>31</v>
      </c>
      <c r="D649" s="0" t="s">
        <v>31</v>
      </c>
      <c r="E649" s="0" t="n">
        <v>416</v>
      </c>
      <c r="F649" s="0" t="n">
        <v>1308</v>
      </c>
      <c r="G649" s="0" t="n">
        <v>10</v>
      </c>
      <c r="H649" s="0" t="n">
        <v>12</v>
      </c>
      <c r="I649" s="0" t="n">
        <v>12</v>
      </c>
      <c r="J649" s="0" t="n">
        <v>12</v>
      </c>
      <c r="K649" s="0" t="n">
        <v>0.7</v>
      </c>
      <c r="L649" s="1" t="n">
        <v>159837.62</v>
      </c>
      <c r="M649" s="0" t="n">
        <v>158661.73</v>
      </c>
      <c r="N649" s="0" t="n">
        <v>1175.89</v>
      </c>
      <c r="O649" s="0" t="n">
        <v>43438.04</v>
      </c>
      <c r="P649" s="1" t="n">
        <v>669.1</v>
      </c>
      <c r="Q649" s="0" t="n">
        <v>0.05</v>
      </c>
      <c r="R649" s="0" t="n">
        <v>5</v>
      </c>
      <c r="S649" s="0" t="s">
        <v>750</v>
      </c>
      <c r="T649" s="0" t="str">
        <f aca="false">IF(L649="inf","False","True")</f>
        <v>True</v>
      </c>
      <c r="U649" s="0" t="str">
        <f aca="false">IF(V649="inf","False","True")</f>
        <v>True</v>
      </c>
      <c r="V649" s="4" t="n">
        <v>123807.43</v>
      </c>
      <c r="W649" s="4" t="n">
        <v>43992.82</v>
      </c>
      <c r="X649" s="0" t="n">
        <v>212.63</v>
      </c>
      <c r="Y649" s="5" t="n">
        <f aca="false">V649-L649</f>
        <v>-36030.19</v>
      </c>
      <c r="Z649" s="6" t="n">
        <f aca="false">Y649/L649</f>
        <v>-0.225417458042731</v>
      </c>
      <c r="AA649" s="3" t="n">
        <f aca="false">X649-P649</f>
        <v>-456.47</v>
      </c>
      <c r="AB649" s="6" t="n">
        <f aca="false">AA649/P649</f>
        <v>-0.682214915558213</v>
      </c>
    </row>
    <row r="650" customFormat="false" ht="12.75" hidden="false" customHeight="false" outlineLevel="0" collapsed="false">
      <c r="A650" s="0" t="s">
        <v>751</v>
      </c>
      <c r="B650" s="0" t="n">
        <v>3</v>
      </c>
      <c r="C650" s="0" t="s">
        <v>31</v>
      </c>
      <c r="D650" s="0" t="s">
        <v>31</v>
      </c>
      <c r="E650" s="0" t="n">
        <v>416</v>
      </c>
      <c r="F650" s="0" t="n">
        <v>1307</v>
      </c>
      <c r="G650" s="0" t="n">
        <v>10</v>
      </c>
      <c r="H650" s="0" t="n">
        <v>12</v>
      </c>
      <c r="I650" s="0" t="n">
        <v>12</v>
      </c>
      <c r="J650" s="0" t="n">
        <v>12</v>
      </c>
      <c r="K650" s="0" t="n">
        <v>0.7</v>
      </c>
      <c r="L650" s="1" t="n">
        <v>1307</v>
      </c>
      <c r="M650" s="0" t="n">
        <v>0</v>
      </c>
      <c r="N650" s="0" t="n">
        <v>1307</v>
      </c>
      <c r="O650" s="0" t="n">
        <v>48026</v>
      </c>
      <c r="P650" s="1" t="n">
        <v>170.1</v>
      </c>
      <c r="Q650" s="0" t="n">
        <v>0</v>
      </c>
      <c r="R650" s="0" t="n">
        <v>7</v>
      </c>
      <c r="S650" s="0" t="s">
        <v>42</v>
      </c>
      <c r="T650" s="0" t="str">
        <f aca="false">IF(L650="inf","False","True")</f>
        <v>True</v>
      </c>
      <c r="U650" s="0" t="str">
        <f aca="false">IF(V650="inf","False","True")</f>
        <v>True</v>
      </c>
      <c r="V650" s="4" t="n">
        <v>143890.41</v>
      </c>
      <c r="W650" s="4" t="n">
        <v>45747.46</v>
      </c>
      <c r="X650" s="0" t="n">
        <v>487.02</v>
      </c>
      <c r="Y650" s="5" t="n">
        <f aca="false">V650-L650</f>
        <v>142583.41</v>
      </c>
      <c r="Z650" s="6" t="n">
        <f aca="false">Y650/L650</f>
        <v>109.092127008416</v>
      </c>
      <c r="AA650" s="3" t="n">
        <f aca="false">X650-P650</f>
        <v>316.92</v>
      </c>
      <c r="AB650" s="6" t="n">
        <f aca="false">AA650/P650</f>
        <v>1.863139329806</v>
      </c>
    </row>
    <row r="651" customFormat="false" ht="12.75" hidden="false" customHeight="false" outlineLevel="0" collapsed="false">
      <c r="A651" s="0" t="s">
        <v>752</v>
      </c>
      <c r="B651" s="0" t="n">
        <v>4</v>
      </c>
      <c r="C651" s="0" t="s">
        <v>31</v>
      </c>
      <c r="D651" s="0" t="s">
        <v>31</v>
      </c>
      <c r="E651" s="0" t="n">
        <v>416</v>
      </c>
      <c r="F651" s="0" t="n">
        <v>1341</v>
      </c>
      <c r="G651" s="0" t="n">
        <v>10</v>
      </c>
      <c r="H651" s="0" t="n">
        <v>12</v>
      </c>
      <c r="I651" s="0" t="n">
        <v>12</v>
      </c>
      <c r="J651" s="0" t="n">
        <v>12</v>
      </c>
      <c r="K651" s="0" t="n">
        <v>0.7</v>
      </c>
      <c r="L651" s="1" t="n">
        <v>1341</v>
      </c>
      <c r="M651" s="0" t="n">
        <v>0</v>
      </c>
      <c r="N651" s="0" t="n">
        <v>1341</v>
      </c>
      <c r="O651" s="0" t="n">
        <v>49804</v>
      </c>
      <c r="P651" s="1" t="n">
        <v>59.03</v>
      </c>
      <c r="Q651" s="0" t="n">
        <v>0</v>
      </c>
      <c r="R651" s="0" t="n">
        <v>6</v>
      </c>
      <c r="S651" s="0" t="s">
        <v>42</v>
      </c>
      <c r="T651" s="0" t="str">
        <f aca="false">IF(L651="inf","False","True")</f>
        <v>True</v>
      </c>
      <c r="U651" s="0" t="str">
        <f aca="false">IF(V651="inf","False","True")</f>
        <v>True</v>
      </c>
      <c r="V651" s="4" t="n">
        <v>103093.94</v>
      </c>
      <c r="W651" s="4" t="n">
        <v>43739.15</v>
      </c>
      <c r="X651" s="0" t="n">
        <v>233.43</v>
      </c>
      <c r="Y651" s="5" t="n">
        <f aca="false">V651-L651</f>
        <v>101752.94</v>
      </c>
      <c r="Z651" s="6" t="n">
        <f aca="false">Y651/L651</f>
        <v>75.8784041759881</v>
      </c>
      <c r="AA651" s="3" t="n">
        <f aca="false">X651-P651</f>
        <v>174.4</v>
      </c>
      <c r="AB651" s="6" t="n">
        <f aca="false">AA651/P651</f>
        <v>2.95442995087244</v>
      </c>
    </row>
    <row r="652" customFormat="false" ht="12.75" hidden="false" customHeight="false" outlineLevel="0" collapsed="false">
      <c r="A652" s="0" t="s">
        <v>753</v>
      </c>
      <c r="B652" s="0" t="n">
        <v>0</v>
      </c>
      <c r="C652" s="0" t="s">
        <v>31</v>
      </c>
      <c r="D652" s="0" t="s">
        <v>31</v>
      </c>
      <c r="E652" s="0" t="n">
        <v>583</v>
      </c>
      <c r="F652" s="0" t="n">
        <v>1792</v>
      </c>
      <c r="G652" s="0" t="n">
        <v>10</v>
      </c>
      <c r="H652" s="0" t="n">
        <v>12</v>
      </c>
      <c r="I652" s="0" t="n">
        <v>12</v>
      </c>
      <c r="J652" s="0" t="n">
        <v>12</v>
      </c>
      <c r="K652" s="0" t="n">
        <v>0.7</v>
      </c>
      <c r="L652" s="1" t="n">
        <v>331152.62</v>
      </c>
      <c r="M652" s="0" t="n">
        <v>329525.38</v>
      </c>
      <c r="N652" s="0" t="n">
        <v>1627.25</v>
      </c>
      <c r="O652" s="0" t="n">
        <v>58104.2</v>
      </c>
      <c r="P652" s="1" t="n">
        <v>696.68</v>
      </c>
      <c r="Q652" s="0" t="n">
        <v>0.01</v>
      </c>
      <c r="R652" s="0" t="n">
        <v>7</v>
      </c>
      <c r="S652" s="0" t="s">
        <v>32</v>
      </c>
      <c r="T652" s="0" t="str">
        <f aca="false">IF(L652="inf","False","True")</f>
        <v>True</v>
      </c>
      <c r="U652" s="0" t="str">
        <f aca="false">IF(V652="inf","False","True")</f>
        <v>False</v>
      </c>
      <c r="V652" s="4" t="s">
        <v>37</v>
      </c>
      <c r="W652" s="4" t="s">
        <v>37</v>
      </c>
      <c r="X652" s="0" t="n">
        <v>58.88</v>
      </c>
      <c r="Y652" s="5" t="e">
        <f aca="false">V652-L652</f>
        <v>#VALUE!</v>
      </c>
      <c r="Z652" s="6" t="e">
        <f aca="false">Y652/L652</f>
        <v>#VALUE!</v>
      </c>
      <c r="AA652" s="3" t="n">
        <f aca="false">X652-P652</f>
        <v>-637.8</v>
      </c>
      <c r="AB652" s="6" t="n">
        <f aca="false">AA652/P652</f>
        <v>-0.915484871102945</v>
      </c>
    </row>
    <row r="653" customFormat="false" ht="12.75" hidden="false" customHeight="false" outlineLevel="0" collapsed="false">
      <c r="A653" s="0" t="s">
        <v>754</v>
      </c>
      <c r="B653" s="0" t="n">
        <v>1</v>
      </c>
      <c r="C653" s="0" t="s">
        <v>31</v>
      </c>
      <c r="D653" s="0" t="s">
        <v>31</v>
      </c>
      <c r="E653" s="0" t="n">
        <v>583</v>
      </c>
      <c r="F653" s="0" t="n">
        <v>1865</v>
      </c>
      <c r="G653" s="0" t="n">
        <v>10</v>
      </c>
      <c r="H653" s="0" t="n">
        <v>12</v>
      </c>
      <c r="I653" s="0" t="n">
        <v>12</v>
      </c>
      <c r="J653" s="0" t="n">
        <v>12</v>
      </c>
      <c r="K653" s="0" t="n">
        <v>0.7</v>
      </c>
      <c r="L653" s="1" t="n">
        <v>1865</v>
      </c>
      <c r="M653" s="0" t="n">
        <v>0</v>
      </c>
      <c r="N653" s="0" t="n">
        <v>1865</v>
      </c>
      <c r="O653" s="0" t="n">
        <v>73268</v>
      </c>
      <c r="P653" s="1" t="n">
        <v>76.39</v>
      </c>
      <c r="Q653" s="0" t="n">
        <v>0</v>
      </c>
      <c r="R653" s="0" t="n">
        <v>5</v>
      </c>
      <c r="S653" s="0" t="s">
        <v>42</v>
      </c>
      <c r="T653" s="0" t="str">
        <f aca="false">IF(L653="inf","False","True")</f>
        <v>True</v>
      </c>
      <c r="U653" s="0" t="str">
        <f aca="false">IF(V653="inf","False","True")</f>
        <v>True</v>
      </c>
      <c r="V653" s="4" t="n">
        <v>150920.43</v>
      </c>
      <c r="W653" s="4" t="n">
        <v>59276.06</v>
      </c>
      <c r="X653" s="0" t="n">
        <v>263</v>
      </c>
      <c r="Y653" s="5" t="n">
        <f aca="false">V653-L653</f>
        <v>149055.43</v>
      </c>
      <c r="Z653" s="6" t="n">
        <f aca="false">Y653/L653</f>
        <v>79.9224825737265</v>
      </c>
      <c r="AA653" s="3" t="n">
        <f aca="false">X653-P653</f>
        <v>186.61</v>
      </c>
      <c r="AB653" s="6" t="n">
        <f aca="false">AA653/P653</f>
        <v>2.44285901295981</v>
      </c>
    </row>
    <row r="654" customFormat="false" ht="12.75" hidden="false" customHeight="false" outlineLevel="0" collapsed="false">
      <c r="A654" s="0" t="s">
        <v>755</v>
      </c>
      <c r="B654" s="0" t="n">
        <v>2</v>
      </c>
      <c r="C654" s="0" t="s">
        <v>31</v>
      </c>
      <c r="D654" s="0" t="s">
        <v>31</v>
      </c>
      <c r="E654" s="0" t="n">
        <v>583</v>
      </c>
      <c r="F654" s="0" t="n">
        <v>1833</v>
      </c>
      <c r="G654" s="0" t="n">
        <v>10</v>
      </c>
      <c r="H654" s="0" t="n">
        <v>12</v>
      </c>
      <c r="I654" s="0" t="n">
        <v>12</v>
      </c>
      <c r="J654" s="0" t="n">
        <v>12</v>
      </c>
      <c r="K654" s="0" t="n">
        <v>0.7</v>
      </c>
      <c r="L654" s="1" t="n">
        <v>198881.14</v>
      </c>
      <c r="M654" s="0" t="n">
        <v>197227</v>
      </c>
      <c r="N654" s="0" t="n">
        <v>1654.14</v>
      </c>
      <c r="O654" s="0" t="n">
        <v>61298.43</v>
      </c>
      <c r="P654" s="1" t="n">
        <v>647.79</v>
      </c>
      <c r="Q654" s="0" t="n">
        <v>0.05</v>
      </c>
      <c r="R654" s="0" t="n">
        <v>6</v>
      </c>
      <c r="S654" s="0" t="s">
        <v>756</v>
      </c>
      <c r="T654" s="0" t="str">
        <f aca="false">IF(L654="inf","False","True")</f>
        <v>True</v>
      </c>
      <c r="U654" s="0" t="str">
        <f aca="false">IF(V654="inf","False","True")</f>
        <v>True</v>
      </c>
      <c r="V654" s="4" t="n">
        <v>275698.38</v>
      </c>
      <c r="W654" s="4" t="n">
        <v>59918.96</v>
      </c>
      <c r="X654" s="0" t="n">
        <v>167.12</v>
      </c>
      <c r="Y654" s="5" t="n">
        <f aca="false">V654-L654</f>
        <v>76817.24</v>
      </c>
      <c r="Z654" s="6" t="n">
        <f aca="false">Y654/L654</f>
        <v>0.386246981488541</v>
      </c>
      <c r="AA654" s="3" t="n">
        <f aca="false">X654-P654</f>
        <v>-480.67</v>
      </c>
      <c r="AB654" s="6" t="n">
        <f aca="false">AA654/P654</f>
        <v>-0.742015159233702</v>
      </c>
    </row>
    <row r="655" customFormat="false" ht="12.75" hidden="false" customHeight="false" outlineLevel="0" collapsed="false">
      <c r="A655" s="0" t="s">
        <v>757</v>
      </c>
      <c r="B655" s="0" t="n">
        <v>3</v>
      </c>
      <c r="C655" s="0" t="s">
        <v>31</v>
      </c>
      <c r="D655" s="0" t="s">
        <v>31</v>
      </c>
      <c r="E655" s="0" t="n">
        <v>583</v>
      </c>
      <c r="F655" s="0" t="n">
        <v>1832</v>
      </c>
      <c r="G655" s="0" t="n">
        <v>10</v>
      </c>
      <c r="H655" s="0" t="n">
        <v>12</v>
      </c>
      <c r="I655" s="0" t="n">
        <v>12</v>
      </c>
      <c r="J655" s="0" t="n">
        <v>12</v>
      </c>
      <c r="K655" s="0" t="n">
        <v>0.7</v>
      </c>
      <c r="L655" s="1" t="n">
        <v>1826.48</v>
      </c>
      <c r="M655" s="0" t="n">
        <v>0</v>
      </c>
      <c r="N655" s="0" t="n">
        <v>1826.48</v>
      </c>
      <c r="O655" s="0" t="n">
        <v>67148</v>
      </c>
      <c r="P655" s="1" t="n">
        <v>81.06</v>
      </c>
      <c r="Q655" s="0" t="n">
        <v>0</v>
      </c>
      <c r="R655" s="0" t="n">
        <v>1</v>
      </c>
      <c r="S655" s="0" t="s">
        <v>42</v>
      </c>
      <c r="T655" s="0" t="str">
        <f aca="false">IF(L655="inf","False","True")</f>
        <v>True</v>
      </c>
      <c r="U655" s="0" t="str">
        <f aca="false">IF(V655="inf","False","True")</f>
        <v>True</v>
      </c>
      <c r="V655" s="4" t="n">
        <v>206633.65</v>
      </c>
      <c r="W655" s="4" t="n">
        <v>61907.23</v>
      </c>
      <c r="X655" s="0" t="n">
        <v>310.68</v>
      </c>
      <c r="Y655" s="5" t="n">
        <f aca="false">V655-L655</f>
        <v>204807.17</v>
      </c>
      <c r="Z655" s="6" t="n">
        <f aca="false">Y655/L655</f>
        <v>112.132172265779</v>
      </c>
      <c r="AA655" s="3" t="n">
        <f aca="false">X655-P655</f>
        <v>229.62</v>
      </c>
      <c r="AB655" s="6" t="n">
        <f aca="false">AA655/P655</f>
        <v>2.83271650629164</v>
      </c>
    </row>
    <row r="656" customFormat="false" ht="12.75" hidden="false" customHeight="false" outlineLevel="0" collapsed="false">
      <c r="A656" s="0" t="s">
        <v>758</v>
      </c>
      <c r="B656" s="0" t="n">
        <v>4</v>
      </c>
      <c r="C656" s="0" t="s">
        <v>31</v>
      </c>
      <c r="D656" s="0" t="s">
        <v>31</v>
      </c>
      <c r="E656" s="0" t="n">
        <v>583</v>
      </c>
      <c r="F656" s="0" t="n">
        <v>1880</v>
      </c>
      <c r="G656" s="0" t="n">
        <v>10</v>
      </c>
      <c r="H656" s="0" t="n">
        <v>12</v>
      </c>
      <c r="I656" s="0" t="n">
        <v>12</v>
      </c>
      <c r="J656" s="0" t="n">
        <v>12</v>
      </c>
      <c r="K656" s="0" t="n">
        <v>0.7</v>
      </c>
      <c r="L656" s="1" t="n">
        <v>1880</v>
      </c>
      <c r="M656" s="0" t="n">
        <v>0</v>
      </c>
      <c r="N656" s="0" t="n">
        <v>1880</v>
      </c>
      <c r="O656" s="0" t="n">
        <v>72749</v>
      </c>
      <c r="P656" s="1" t="n">
        <v>62.61</v>
      </c>
      <c r="Q656" s="0" t="n">
        <v>0</v>
      </c>
      <c r="R656" s="0" t="n">
        <v>7</v>
      </c>
      <c r="S656" s="0" t="s">
        <v>42</v>
      </c>
      <c r="T656" s="0" t="str">
        <f aca="false">IF(L656="inf","False","True")</f>
        <v>True</v>
      </c>
      <c r="U656" s="0" t="str">
        <f aca="false">IF(V656="inf","False","True")</f>
        <v>True</v>
      </c>
      <c r="V656" s="4" t="n">
        <v>117688.22</v>
      </c>
      <c r="W656" s="4" t="n">
        <v>62918.84</v>
      </c>
      <c r="X656" s="0" t="n">
        <v>582.54</v>
      </c>
      <c r="Y656" s="5" t="n">
        <f aca="false">V656-L656</f>
        <v>115808.22</v>
      </c>
      <c r="Z656" s="6" t="n">
        <f aca="false">Y656/L656</f>
        <v>61.6001170212766</v>
      </c>
      <c r="AA656" s="3" t="n">
        <f aca="false">X656-P656</f>
        <v>519.93</v>
      </c>
      <c r="AB656" s="6" t="n">
        <f aca="false">AA656/P656</f>
        <v>8.3042644944897</v>
      </c>
    </row>
    <row r="657" customFormat="false" ht="12.75" hidden="false" customHeight="false" outlineLevel="0" collapsed="false">
      <c r="A657" s="0" t="s">
        <v>759</v>
      </c>
      <c r="B657" s="0" t="n">
        <v>0</v>
      </c>
      <c r="C657" s="0" t="s">
        <v>31</v>
      </c>
      <c r="D657" s="0" t="s">
        <v>31</v>
      </c>
      <c r="E657" s="0" t="n">
        <v>833</v>
      </c>
      <c r="F657" s="0" t="n">
        <v>2566</v>
      </c>
      <c r="G657" s="0" t="n">
        <v>10</v>
      </c>
      <c r="H657" s="0" t="n">
        <v>12</v>
      </c>
      <c r="I657" s="0" t="n">
        <v>12</v>
      </c>
      <c r="J657" s="0" t="n">
        <v>12</v>
      </c>
      <c r="K657" s="0" t="n">
        <v>0.7</v>
      </c>
      <c r="L657" s="1" t="n">
        <v>463807.59</v>
      </c>
      <c r="M657" s="0" t="n">
        <v>461476.02</v>
      </c>
      <c r="N657" s="0" t="n">
        <v>2331.57</v>
      </c>
      <c r="O657" s="0" t="n">
        <v>83069.51</v>
      </c>
      <c r="P657" s="1" t="n">
        <v>629.99</v>
      </c>
      <c r="Q657" s="0" t="n">
        <v>0.01</v>
      </c>
      <c r="R657" s="0" t="n">
        <v>4</v>
      </c>
      <c r="S657" s="0" t="s">
        <v>32</v>
      </c>
      <c r="T657" s="0" t="str">
        <f aca="false">IF(L657="inf","False","True")</f>
        <v>True</v>
      </c>
      <c r="U657" s="0" t="str">
        <f aca="false">IF(V657="inf","False","True")</f>
        <v>False</v>
      </c>
      <c r="V657" s="4" t="s">
        <v>37</v>
      </c>
      <c r="W657" s="4" t="s">
        <v>37</v>
      </c>
      <c r="X657" s="0" t="n">
        <v>56.51</v>
      </c>
      <c r="Y657" s="5" t="e">
        <f aca="false">V657-L657</f>
        <v>#VALUE!</v>
      </c>
      <c r="Z657" s="6" t="e">
        <f aca="false">Y657/L657</f>
        <v>#VALUE!</v>
      </c>
      <c r="AA657" s="3" t="n">
        <f aca="false">X657-P657</f>
        <v>-573.48</v>
      </c>
      <c r="AB657" s="6" t="n">
        <f aca="false">AA657/P657</f>
        <v>-0.910300163494659</v>
      </c>
    </row>
    <row r="658" customFormat="false" ht="12.75" hidden="false" customHeight="false" outlineLevel="0" collapsed="false">
      <c r="A658" s="0" t="s">
        <v>760</v>
      </c>
      <c r="B658" s="0" t="n">
        <v>1</v>
      </c>
      <c r="C658" s="0" t="s">
        <v>31</v>
      </c>
      <c r="D658" s="0" t="s">
        <v>31</v>
      </c>
      <c r="E658" s="0" t="n">
        <v>833</v>
      </c>
      <c r="F658" s="0" t="n">
        <v>2670</v>
      </c>
      <c r="G658" s="0" t="n">
        <v>10</v>
      </c>
      <c r="H658" s="0" t="n">
        <v>12</v>
      </c>
      <c r="I658" s="0" t="n">
        <v>12</v>
      </c>
      <c r="J658" s="0" t="n">
        <v>12</v>
      </c>
      <c r="K658" s="0" t="n">
        <v>0.7</v>
      </c>
      <c r="L658" s="1" t="n">
        <v>2644.81</v>
      </c>
      <c r="M658" s="0" t="n">
        <v>0</v>
      </c>
      <c r="N658" s="0" t="n">
        <v>2644.81</v>
      </c>
      <c r="O658" s="0" t="n">
        <v>100569</v>
      </c>
      <c r="P658" s="1" t="n">
        <v>105.61</v>
      </c>
      <c r="Q658" s="0" t="n">
        <v>0</v>
      </c>
      <c r="R658" s="0" t="n">
        <v>6</v>
      </c>
      <c r="S658" s="0" t="s">
        <v>761</v>
      </c>
      <c r="T658" s="0" t="str">
        <f aca="false">IF(L658="inf","False","True")</f>
        <v>True</v>
      </c>
      <c r="U658" s="0" t="str">
        <f aca="false">IF(V658="inf","False","True")</f>
        <v>True</v>
      </c>
      <c r="V658" s="4" t="n">
        <v>172233.81</v>
      </c>
      <c r="W658" s="4" t="n">
        <v>86494.51</v>
      </c>
      <c r="X658" s="0" t="n">
        <v>118.22</v>
      </c>
      <c r="Y658" s="5" t="n">
        <f aca="false">V658-L658</f>
        <v>169589</v>
      </c>
      <c r="Z658" s="6" t="n">
        <f aca="false">Y658/L658</f>
        <v>64.1214302728741</v>
      </c>
      <c r="AA658" s="3" t="n">
        <f aca="false">X658-P658</f>
        <v>12.61</v>
      </c>
      <c r="AB658" s="6" t="n">
        <f aca="false">AA658/P658</f>
        <v>0.11940157182085</v>
      </c>
    </row>
    <row r="659" customFormat="false" ht="12.75" hidden="false" customHeight="false" outlineLevel="0" collapsed="false">
      <c r="A659" s="0" t="s">
        <v>762</v>
      </c>
      <c r="B659" s="0" t="n">
        <v>2</v>
      </c>
      <c r="C659" s="0" t="s">
        <v>31</v>
      </c>
      <c r="D659" s="0" t="s">
        <v>31</v>
      </c>
      <c r="E659" s="0" t="n">
        <v>833</v>
      </c>
      <c r="F659" s="0" t="n">
        <v>2625</v>
      </c>
      <c r="G659" s="0" t="n">
        <v>10</v>
      </c>
      <c r="H659" s="0" t="n">
        <v>12</v>
      </c>
      <c r="I659" s="0" t="n">
        <v>12</v>
      </c>
      <c r="J659" s="0" t="n">
        <v>12</v>
      </c>
      <c r="K659" s="0" t="n">
        <v>0.7</v>
      </c>
      <c r="L659" s="1" t="n">
        <v>345218.08</v>
      </c>
      <c r="M659" s="0" t="n">
        <v>342869.59</v>
      </c>
      <c r="N659" s="0" t="n">
        <v>2348.49</v>
      </c>
      <c r="O659" s="0" t="n">
        <v>86217.29</v>
      </c>
      <c r="P659" s="1" t="n">
        <v>627.81</v>
      </c>
      <c r="Q659" s="0" t="n">
        <v>0.02</v>
      </c>
      <c r="R659" s="0" t="n">
        <v>1</v>
      </c>
      <c r="S659" s="0" t="s">
        <v>42</v>
      </c>
      <c r="T659" s="0" t="str">
        <f aca="false">IF(L659="inf","False","True")</f>
        <v>True</v>
      </c>
      <c r="U659" s="0" t="str">
        <f aca="false">IF(V659="inf","False","True")</f>
        <v>True</v>
      </c>
      <c r="V659" s="4" t="n">
        <v>248933.42</v>
      </c>
      <c r="W659" s="4" t="n">
        <v>87720.2</v>
      </c>
      <c r="X659" s="0" t="n">
        <v>329.71</v>
      </c>
      <c r="Y659" s="5" t="n">
        <f aca="false">V659-L659</f>
        <v>-96284.66</v>
      </c>
      <c r="Z659" s="6" t="n">
        <f aca="false">Y659/L659</f>
        <v>-0.278909667767111</v>
      </c>
      <c r="AA659" s="3" t="n">
        <f aca="false">X659-P659</f>
        <v>-298.1</v>
      </c>
      <c r="AB659" s="6" t="n">
        <f aca="false">AA659/P659</f>
        <v>-0.474825185963906</v>
      </c>
    </row>
    <row r="660" customFormat="false" ht="12.75" hidden="false" customHeight="false" outlineLevel="0" collapsed="false">
      <c r="A660" s="0" t="s">
        <v>763</v>
      </c>
      <c r="B660" s="0" t="n">
        <v>3</v>
      </c>
      <c r="C660" s="0" t="s">
        <v>31</v>
      </c>
      <c r="D660" s="0" t="s">
        <v>31</v>
      </c>
      <c r="E660" s="0" t="n">
        <v>833</v>
      </c>
      <c r="F660" s="0" t="n">
        <v>2623</v>
      </c>
      <c r="G660" s="0" t="n">
        <v>10</v>
      </c>
      <c r="H660" s="0" t="n">
        <v>12</v>
      </c>
      <c r="I660" s="0" t="n">
        <v>12</v>
      </c>
      <c r="J660" s="0" t="n">
        <v>12</v>
      </c>
      <c r="K660" s="0" t="n">
        <v>0.7</v>
      </c>
      <c r="L660" s="1" t="n">
        <v>2623</v>
      </c>
      <c r="M660" s="0" t="n">
        <v>0</v>
      </c>
      <c r="N660" s="0" t="n">
        <v>2623</v>
      </c>
      <c r="O660" s="0" t="n">
        <v>95887</v>
      </c>
      <c r="P660" s="1" t="n">
        <v>53.49</v>
      </c>
      <c r="Q660" s="0" t="n">
        <v>0</v>
      </c>
      <c r="R660" s="0" t="n">
        <v>1</v>
      </c>
      <c r="S660" s="0" t="s">
        <v>42</v>
      </c>
      <c r="T660" s="0" t="str">
        <f aca="false">IF(L660="inf","False","True")</f>
        <v>True</v>
      </c>
      <c r="U660" s="0" t="str">
        <f aca="false">IF(V660="inf","False","True")</f>
        <v>False</v>
      </c>
      <c r="V660" s="4" t="s">
        <v>37</v>
      </c>
      <c r="W660" s="4" t="s">
        <v>37</v>
      </c>
      <c r="X660" s="0" t="n">
        <v>637.73</v>
      </c>
      <c r="Y660" s="5" t="e">
        <f aca="false">V660-L660</f>
        <v>#VALUE!</v>
      </c>
      <c r="Z660" s="6" t="e">
        <f aca="false">Y660/L660</f>
        <v>#VALUE!</v>
      </c>
      <c r="AA660" s="3" t="n">
        <f aca="false">X660-P660</f>
        <v>584.24</v>
      </c>
      <c r="AB660" s="6" t="n">
        <f aca="false">AA660/P660</f>
        <v>10.9224154047486</v>
      </c>
    </row>
    <row r="661" customFormat="false" ht="12.75" hidden="false" customHeight="false" outlineLevel="0" collapsed="false">
      <c r="A661" s="0" t="s">
        <v>764</v>
      </c>
      <c r="B661" s="0" t="n">
        <v>4</v>
      </c>
      <c r="C661" s="0" t="s">
        <v>31</v>
      </c>
      <c r="D661" s="0" t="s">
        <v>31</v>
      </c>
      <c r="E661" s="0" t="n">
        <v>833</v>
      </c>
      <c r="F661" s="0" t="n">
        <v>2692</v>
      </c>
      <c r="G661" s="0" t="n">
        <v>10</v>
      </c>
      <c r="H661" s="0" t="n">
        <v>12</v>
      </c>
      <c r="I661" s="0" t="n">
        <v>12</v>
      </c>
      <c r="J661" s="0" t="n">
        <v>12</v>
      </c>
      <c r="K661" s="0" t="n">
        <v>0.7</v>
      </c>
      <c r="L661" s="1" t="n">
        <v>2692</v>
      </c>
      <c r="M661" s="0" t="n">
        <v>0</v>
      </c>
      <c r="N661" s="0" t="n">
        <v>2692</v>
      </c>
      <c r="O661" s="0" t="n">
        <v>99498</v>
      </c>
      <c r="P661" s="1" t="n">
        <v>65.72</v>
      </c>
      <c r="Q661" s="0" t="n">
        <v>0</v>
      </c>
      <c r="R661" s="0" t="n">
        <v>8</v>
      </c>
      <c r="S661" s="0" t="s">
        <v>42</v>
      </c>
      <c r="T661" s="0" t="str">
        <f aca="false">IF(L661="inf","False","True")</f>
        <v>True</v>
      </c>
      <c r="U661" s="0" t="str">
        <f aca="false">IF(V661="inf","False","True")</f>
        <v>True</v>
      </c>
      <c r="V661" s="4" t="n">
        <v>262413.07</v>
      </c>
      <c r="W661" s="4" t="n">
        <v>86481.28</v>
      </c>
      <c r="X661" s="0" t="n">
        <v>42.32</v>
      </c>
      <c r="Y661" s="5" t="n">
        <f aca="false">V661-L661</f>
        <v>259721.07</v>
      </c>
      <c r="Z661" s="6" t="n">
        <f aca="false">Y661/L661</f>
        <v>96.478852154532</v>
      </c>
      <c r="AA661" s="3" t="n">
        <f aca="false">X661-P661</f>
        <v>-23.4</v>
      </c>
      <c r="AB661" s="6" t="n">
        <f aca="false">AA661/P661</f>
        <v>-0.356055995130858</v>
      </c>
    </row>
    <row r="662" customFormat="false" ht="12.75" hidden="false" customHeight="false" outlineLevel="0" collapsed="false">
      <c r="A662" s="0" t="s">
        <v>765</v>
      </c>
      <c r="B662" s="0" t="n">
        <v>0</v>
      </c>
      <c r="C662" s="0" t="s">
        <v>31</v>
      </c>
      <c r="D662" s="0" t="s">
        <v>31</v>
      </c>
      <c r="E662" s="0" t="n">
        <v>250</v>
      </c>
      <c r="F662" s="0" t="n">
        <v>414</v>
      </c>
      <c r="G662" s="0" t="n">
        <v>15</v>
      </c>
      <c r="H662" s="0" t="n">
        <v>12</v>
      </c>
      <c r="I662" s="0" t="n">
        <v>12</v>
      </c>
      <c r="J662" s="0" t="n">
        <v>4</v>
      </c>
      <c r="K662" s="0" t="n">
        <v>0.7</v>
      </c>
      <c r="L662" s="1" t="n">
        <v>7856.11</v>
      </c>
      <c r="M662" s="0" t="n">
        <v>7443.4</v>
      </c>
      <c r="N662" s="0" t="n">
        <v>412.71</v>
      </c>
      <c r="O662" s="0" t="n">
        <v>43237.09</v>
      </c>
      <c r="P662" s="1" t="n">
        <v>55.99</v>
      </c>
      <c r="Q662" s="0" t="n">
        <v>0</v>
      </c>
      <c r="R662" s="0" t="n">
        <v>6</v>
      </c>
      <c r="S662" s="0" t="s">
        <v>766</v>
      </c>
      <c r="T662" s="0" t="str">
        <f aca="false">IF(L662="inf","False","True")</f>
        <v>True</v>
      </c>
      <c r="U662" s="0" t="str">
        <f aca="false">IF(V662="inf","False","True")</f>
        <v>False</v>
      </c>
      <c r="V662" s="4" t="s">
        <v>37</v>
      </c>
      <c r="W662" s="4" t="s">
        <v>37</v>
      </c>
      <c r="X662" s="0" t="n">
        <v>46.71</v>
      </c>
      <c r="Y662" s="5" t="e">
        <f aca="false">V662-L662</f>
        <v>#VALUE!</v>
      </c>
      <c r="Z662" s="6" t="e">
        <f aca="false">Y662/L662</f>
        <v>#VALUE!</v>
      </c>
      <c r="AA662" s="3" t="n">
        <f aca="false">X662-P662</f>
        <v>-9.28</v>
      </c>
      <c r="AB662" s="6" t="n">
        <f aca="false">AA662/P662</f>
        <v>-0.165743882836221</v>
      </c>
    </row>
    <row r="663" customFormat="false" ht="12.75" hidden="false" customHeight="false" outlineLevel="0" collapsed="false">
      <c r="A663" s="0" t="s">
        <v>767</v>
      </c>
      <c r="B663" s="0" t="n">
        <v>1</v>
      </c>
      <c r="C663" s="0" t="s">
        <v>31</v>
      </c>
      <c r="D663" s="0" t="s">
        <v>31</v>
      </c>
      <c r="E663" s="0" t="n">
        <v>250</v>
      </c>
      <c r="F663" s="0" t="n">
        <v>424</v>
      </c>
      <c r="G663" s="0" t="n">
        <v>15</v>
      </c>
      <c r="H663" s="0" t="n">
        <v>12</v>
      </c>
      <c r="I663" s="0" t="n">
        <v>12</v>
      </c>
      <c r="J663" s="0" t="n">
        <v>4</v>
      </c>
      <c r="K663" s="0" t="n">
        <v>0.7</v>
      </c>
      <c r="L663" s="1" t="n">
        <v>113269.04</v>
      </c>
      <c r="M663" s="0" t="n">
        <v>112856.65</v>
      </c>
      <c r="N663" s="0" t="n">
        <v>412.39</v>
      </c>
      <c r="O663" s="0" t="n">
        <v>45145.56</v>
      </c>
      <c r="P663" s="1" t="n">
        <v>186.65</v>
      </c>
      <c r="Q663" s="0" t="n">
        <v>0</v>
      </c>
      <c r="R663" s="0" t="n">
        <v>2</v>
      </c>
      <c r="S663" s="0" t="s">
        <v>32</v>
      </c>
      <c r="T663" s="0" t="str">
        <f aca="false">IF(L663="inf","False","True")</f>
        <v>True</v>
      </c>
      <c r="U663" s="0" t="str">
        <f aca="false">IF(V663="inf","False","True")</f>
        <v>False</v>
      </c>
      <c r="V663" s="4" t="s">
        <v>37</v>
      </c>
      <c r="W663" s="4" t="s">
        <v>37</v>
      </c>
      <c r="X663" s="0" t="n">
        <v>38.89</v>
      </c>
      <c r="Y663" s="5" t="e">
        <f aca="false">V663-L663</f>
        <v>#VALUE!</v>
      </c>
      <c r="Z663" s="6" t="e">
        <f aca="false">Y663/L663</f>
        <v>#VALUE!</v>
      </c>
      <c r="AA663" s="3" t="n">
        <f aca="false">X663-P663</f>
        <v>-147.76</v>
      </c>
      <c r="AB663" s="6" t="n">
        <f aca="false">AA663/P663</f>
        <v>-0.791642110902759</v>
      </c>
    </row>
    <row r="664" customFormat="false" ht="12.75" hidden="false" customHeight="false" outlineLevel="0" collapsed="false">
      <c r="A664" s="0" t="s">
        <v>768</v>
      </c>
      <c r="B664" s="0" t="n">
        <v>2</v>
      </c>
      <c r="C664" s="0" t="s">
        <v>31</v>
      </c>
      <c r="D664" s="0" t="s">
        <v>31</v>
      </c>
      <c r="E664" s="0" t="n">
        <v>250</v>
      </c>
      <c r="F664" s="0" t="n">
        <v>402</v>
      </c>
      <c r="G664" s="0" t="n">
        <v>15</v>
      </c>
      <c r="H664" s="0" t="n">
        <v>12</v>
      </c>
      <c r="I664" s="0" t="n">
        <v>12</v>
      </c>
      <c r="J664" s="0" t="n">
        <v>4</v>
      </c>
      <c r="K664" s="0" t="n">
        <v>0.7</v>
      </c>
      <c r="L664" s="1" t="n">
        <v>162685.75</v>
      </c>
      <c r="M664" s="0" t="n">
        <v>162310.32</v>
      </c>
      <c r="N664" s="0" t="n">
        <v>375.43</v>
      </c>
      <c r="O664" s="0" t="n">
        <v>41330.94</v>
      </c>
      <c r="P664" s="1" t="n">
        <v>634.44</v>
      </c>
      <c r="Q664" s="0" t="n">
        <v>0</v>
      </c>
      <c r="R664" s="0" t="n">
        <v>19</v>
      </c>
      <c r="S664" s="0" t="s">
        <v>32</v>
      </c>
      <c r="T664" s="0" t="str">
        <f aca="false">IF(L664="inf","False","True")</f>
        <v>True</v>
      </c>
      <c r="U664" s="0" t="str">
        <f aca="false">IF(V664="inf","False","True")</f>
        <v>False</v>
      </c>
      <c r="V664" s="4" t="s">
        <v>37</v>
      </c>
      <c r="W664" s="4" t="s">
        <v>37</v>
      </c>
      <c r="X664" s="0" t="n">
        <v>48.72</v>
      </c>
      <c r="Y664" s="5" t="e">
        <f aca="false">V664-L664</f>
        <v>#VALUE!</v>
      </c>
      <c r="Z664" s="6" t="e">
        <f aca="false">Y664/L664</f>
        <v>#VALUE!</v>
      </c>
      <c r="AA664" s="3" t="n">
        <f aca="false">X664-P664</f>
        <v>-585.72</v>
      </c>
      <c r="AB664" s="6" t="n">
        <f aca="false">AA664/P664</f>
        <v>-0.923207868356346</v>
      </c>
    </row>
    <row r="665" customFormat="false" ht="12.75" hidden="false" customHeight="false" outlineLevel="0" collapsed="false">
      <c r="A665" s="0" t="s">
        <v>769</v>
      </c>
      <c r="B665" s="0" t="n">
        <v>3</v>
      </c>
      <c r="C665" s="0" t="s">
        <v>31</v>
      </c>
      <c r="D665" s="0" t="s">
        <v>31</v>
      </c>
      <c r="E665" s="0" t="n">
        <v>250</v>
      </c>
      <c r="F665" s="0" t="n">
        <v>405</v>
      </c>
      <c r="G665" s="0" t="n">
        <v>15</v>
      </c>
      <c r="H665" s="0" t="n">
        <v>12</v>
      </c>
      <c r="I665" s="0" t="n">
        <v>12</v>
      </c>
      <c r="J665" s="0" t="n">
        <v>4</v>
      </c>
      <c r="K665" s="0" t="n">
        <v>0.7</v>
      </c>
      <c r="L665" s="1" t="n">
        <v>113454.17</v>
      </c>
      <c r="M665" s="0" t="n">
        <v>113078.77</v>
      </c>
      <c r="N665" s="0" t="n">
        <v>375.4</v>
      </c>
      <c r="O665" s="0" t="n">
        <v>42640.03</v>
      </c>
      <c r="P665" s="1" t="n">
        <v>498.64</v>
      </c>
      <c r="Q665" s="0" t="n">
        <v>0</v>
      </c>
      <c r="R665" s="0" t="n">
        <v>22</v>
      </c>
      <c r="S665" s="0" t="s">
        <v>32</v>
      </c>
      <c r="T665" s="0" t="str">
        <f aca="false">IF(L665="inf","False","True")</f>
        <v>True</v>
      </c>
      <c r="U665" s="0" t="str">
        <f aca="false">IF(V665="inf","False","True")</f>
        <v>False</v>
      </c>
      <c r="V665" s="4" t="s">
        <v>37</v>
      </c>
      <c r="W665" s="4" t="s">
        <v>37</v>
      </c>
      <c r="X665" s="0" t="n">
        <v>56.83</v>
      </c>
      <c r="Y665" s="5" t="e">
        <f aca="false">V665-L665</f>
        <v>#VALUE!</v>
      </c>
      <c r="Z665" s="6" t="e">
        <f aca="false">Y665/L665</f>
        <v>#VALUE!</v>
      </c>
      <c r="AA665" s="3" t="n">
        <f aca="false">X665-P665</f>
        <v>-441.81</v>
      </c>
      <c r="AB665" s="6" t="n">
        <f aca="false">AA665/P665</f>
        <v>-0.886030001604364</v>
      </c>
    </row>
    <row r="666" customFormat="false" ht="12.75" hidden="false" customHeight="false" outlineLevel="0" collapsed="false">
      <c r="A666" s="0" t="s">
        <v>770</v>
      </c>
      <c r="B666" s="0" t="n">
        <v>4</v>
      </c>
      <c r="C666" s="0" t="s">
        <v>31</v>
      </c>
      <c r="D666" s="0" t="s">
        <v>31</v>
      </c>
      <c r="E666" s="0" t="n">
        <v>250</v>
      </c>
      <c r="F666" s="0" t="n">
        <v>443</v>
      </c>
      <c r="G666" s="0" t="n">
        <v>15</v>
      </c>
      <c r="H666" s="0" t="n">
        <v>12</v>
      </c>
      <c r="I666" s="0" t="n">
        <v>12</v>
      </c>
      <c r="J666" s="0" t="n">
        <v>4</v>
      </c>
      <c r="K666" s="0" t="n">
        <v>0.7</v>
      </c>
      <c r="L666" s="1" t="n">
        <v>92797.52</v>
      </c>
      <c r="M666" s="0" t="n">
        <v>92383.59</v>
      </c>
      <c r="N666" s="0" t="n">
        <v>413.93</v>
      </c>
      <c r="O666" s="0" t="n">
        <v>41047.3</v>
      </c>
      <c r="P666" s="1" t="n">
        <v>296.72</v>
      </c>
      <c r="Q666" s="0" t="n">
        <v>0</v>
      </c>
      <c r="R666" s="0" t="n">
        <v>11</v>
      </c>
      <c r="S666" s="0" t="s">
        <v>32</v>
      </c>
      <c r="T666" s="0" t="str">
        <f aca="false">IF(L666="inf","False","True")</f>
        <v>True</v>
      </c>
      <c r="U666" s="0" t="str">
        <f aca="false">IF(V666="inf","False","True")</f>
        <v>False</v>
      </c>
      <c r="V666" s="4" t="s">
        <v>37</v>
      </c>
      <c r="W666" s="4" t="s">
        <v>37</v>
      </c>
      <c r="X666" s="0" t="n">
        <v>62.64</v>
      </c>
      <c r="Y666" s="5" t="e">
        <f aca="false">V666-L666</f>
        <v>#VALUE!</v>
      </c>
      <c r="Z666" s="6" t="e">
        <f aca="false">Y666/L666</f>
        <v>#VALUE!</v>
      </c>
      <c r="AA666" s="3" t="n">
        <f aca="false">X666-P666</f>
        <v>-234.08</v>
      </c>
      <c r="AB666" s="6" t="n">
        <f aca="false">AA666/P666</f>
        <v>-0.788891884605015</v>
      </c>
    </row>
    <row r="667" customFormat="false" ht="12.75" hidden="false" customHeight="false" outlineLevel="0" collapsed="false">
      <c r="A667" s="0" t="s">
        <v>771</v>
      </c>
      <c r="B667" s="0" t="n">
        <v>0</v>
      </c>
      <c r="C667" s="0" t="s">
        <v>31</v>
      </c>
      <c r="D667" s="0" t="s">
        <v>31</v>
      </c>
      <c r="E667" s="0" t="n">
        <v>416</v>
      </c>
      <c r="F667" s="0" t="n">
        <v>693</v>
      </c>
      <c r="G667" s="0" t="n">
        <v>15</v>
      </c>
      <c r="H667" s="0" t="n">
        <v>12</v>
      </c>
      <c r="I667" s="0" t="n">
        <v>12</v>
      </c>
      <c r="J667" s="0" t="n">
        <v>4</v>
      </c>
      <c r="K667" s="0" t="n">
        <v>0.7</v>
      </c>
      <c r="L667" s="1" t="n">
        <v>8774.35</v>
      </c>
      <c r="M667" s="0" t="n">
        <v>8087.91</v>
      </c>
      <c r="N667" s="0" t="n">
        <v>686.44</v>
      </c>
      <c r="O667" s="0" t="n">
        <v>72597.62</v>
      </c>
      <c r="P667" s="1" t="n">
        <v>60.5</v>
      </c>
      <c r="Q667" s="0" t="n">
        <v>0</v>
      </c>
      <c r="R667" s="0" t="n">
        <v>2</v>
      </c>
      <c r="S667" s="0" t="s">
        <v>772</v>
      </c>
      <c r="T667" s="0" t="str">
        <f aca="false">IF(L667="inf","False","True")</f>
        <v>True</v>
      </c>
      <c r="U667" s="0" t="str">
        <f aca="false">IF(V667="inf","False","True")</f>
        <v>False</v>
      </c>
      <c r="V667" s="4" t="s">
        <v>37</v>
      </c>
      <c r="W667" s="4" t="s">
        <v>37</v>
      </c>
      <c r="X667" s="0" t="n">
        <v>49.38</v>
      </c>
      <c r="Y667" s="5" t="e">
        <f aca="false">V667-L667</f>
        <v>#VALUE!</v>
      </c>
      <c r="Z667" s="6" t="e">
        <f aca="false">Y667/L667</f>
        <v>#VALUE!</v>
      </c>
      <c r="AA667" s="3" t="n">
        <f aca="false">X667-P667</f>
        <v>-11.12</v>
      </c>
      <c r="AB667" s="6" t="n">
        <f aca="false">AA667/P667</f>
        <v>-0.183801652892562</v>
      </c>
    </row>
    <row r="668" customFormat="false" ht="12.75" hidden="false" customHeight="false" outlineLevel="0" collapsed="false">
      <c r="A668" s="0" t="s">
        <v>773</v>
      </c>
      <c r="B668" s="0" t="n">
        <v>1</v>
      </c>
      <c r="C668" s="0" t="s">
        <v>31</v>
      </c>
      <c r="D668" s="0" t="s">
        <v>31</v>
      </c>
      <c r="E668" s="0" t="n">
        <v>416</v>
      </c>
      <c r="F668" s="0" t="n">
        <v>713</v>
      </c>
      <c r="G668" s="0" t="n">
        <v>15</v>
      </c>
      <c r="H668" s="0" t="n">
        <v>12</v>
      </c>
      <c r="I668" s="0" t="n">
        <v>12</v>
      </c>
      <c r="J668" s="0" t="n">
        <v>4</v>
      </c>
      <c r="K668" s="0" t="n">
        <v>0.7</v>
      </c>
      <c r="L668" s="1" t="n">
        <v>210339.05</v>
      </c>
      <c r="M668" s="0" t="n">
        <v>209654.42</v>
      </c>
      <c r="N668" s="0" t="n">
        <v>684.64</v>
      </c>
      <c r="O668" s="0" t="n">
        <v>77684.44</v>
      </c>
      <c r="P668" s="1" t="n">
        <v>522.3</v>
      </c>
      <c r="Q668" s="0" t="n">
        <v>0</v>
      </c>
      <c r="R668" s="0" t="n">
        <v>12</v>
      </c>
      <c r="S668" s="0" t="s">
        <v>32</v>
      </c>
      <c r="T668" s="0" t="str">
        <f aca="false">IF(L668="inf","False","True")</f>
        <v>True</v>
      </c>
      <c r="U668" s="0" t="str">
        <f aca="false">IF(V668="inf","False","True")</f>
        <v>False</v>
      </c>
      <c r="V668" s="4" t="s">
        <v>37</v>
      </c>
      <c r="W668" s="4" t="s">
        <v>37</v>
      </c>
      <c r="X668" s="0" t="n">
        <v>40.4</v>
      </c>
      <c r="Y668" s="5" t="e">
        <f aca="false">V668-L668</f>
        <v>#VALUE!</v>
      </c>
      <c r="Z668" s="6" t="e">
        <f aca="false">Y668/L668</f>
        <v>#VALUE!</v>
      </c>
      <c r="AA668" s="3" t="n">
        <f aca="false">X668-P668</f>
        <v>-481.9</v>
      </c>
      <c r="AB668" s="6" t="n">
        <f aca="false">AA668/P668</f>
        <v>-0.922649818112196</v>
      </c>
    </row>
    <row r="669" customFormat="false" ht="12.75" hidden="false" customHeight="false" outlineLevel="0" collapsed="false">
      <c r="A669" s="0" t="s">
        <v>774</v>
      </c>
      <c r="B669" s="0" t="n">
        <v>2</v>
      </c>
      <c r="C669" s="0" t="s">
        <v>31</v>
      </c>
      <c r="D669" s="0" t="s">
        <v>31</v>
      </c>
      <c r="E669" s="0" t="n">
        <v>416</v>
      </c>
      <c r="F669" s="0" t="n">
        <v>672</v>
      </c>
      <c r="G669" s="0" t="n">
        <v>15</v>
      </c>
      <c r="H669" s="0" t="n">
        <v>12</v>
      </c>
      <c r="I669" s="0" t="n">
        <v>12</v>
      </c>
      <c r="J669" s="0" t="n">
        <v>4</v>
      </c>
      <c r="K669" s="0" t="n">
        <v>0.7</v>
      </c>
      <c r="L669" s="1" t="n">
        <v>267395.45</v>
      </c>
      <c r="M669" s="0" t="n">
        <v>266753.4</v>
      </c>
      <c r="N669" s="0" t="n">
        <v>642.05</v>
      </c>
      <c r="O669" s="0" t="n">
        <v>68486.02</v>
      </c>
      <c r="P669" s="1" t="n">
        <v>468.54</v>
      </c>
      <c r="Q669" s="0" t="n">
        <v>0</v>
      </c>
      <c r="R669" s="0" t="n">
        <v>12</v>
      </c>
      <c r="S669" s="0" t="s">
        <v>32</v>
      </c>
      <c r="T669" s="0" t="str">
        <f aca="false">IF(L669="inf","False","True")</f>
        <v>True</v>
      </c>
      <c r="U669" s="0" t="str">
        <f aca="false">IF(V669="inf","False","True")</f>
        <v>False</v>
      </c>
      <c r="V669" s="4" t="s">
        <v>37</v>
      </c>
      <c r="W669" s="4" t="s">
        <v>37</v>
      </c>
      <c r="X669" s="0" t="n">
        <v>41.79</v>
      </c>
      <c r="Y669" s="5" t="e">
        <f aca="false">V669-L669</f>
        <v>#VALUE!</v>
      </c>
      <c r="Z669" s="6" t="e">
        <f aca="false">Y669/L669</f>
        <v>#VALUE!</v>
      </c>
      <c r="AA669" s="3" t="n">
        <f aca="false">X669-P669</f>
        <v>-426.75</v>
      </c>
      <c r="AB669" s="6" t="n">
        <f aca="false">AA669/P669</f>
        <v>-0.910808042002817</v>
      </c>
    </row>
    <row r="670" customFormat="false" ht="12.75" hidden="false" customHeight="false" outlineLevel="0" collapsed="false">
      <c r="A670" s="0" t="s">
        <v>775</v>
      </c>
      <c r="B670" s="0" t="n">
        <v>3</v>
      </c>
      <c r="C670" s="0" t="s">
        <v>31</v>
      </c>
      <c r="D670" s="0" t="s">
        <v>31</v>
      </c>
      <c r="E670" s="0" t="n">
        <v>416</v>
      </c>
      <c r="F670" s="0" t="n">
        <v>679</v>
      </c>
      <c r="G670" s="0" t="n">
        <v>15</v>
      </c>
      <c r="H670" s="0" t="n">
        <v>12</v>
      </c>
      <c r="I670" s="0" t="n">
        <v>12</v>
      </c>
      <c r="J670" s="0" t="n">
        <v>4</v>
      </c>
      <c r="K670" s="0" t="n">
        <v>0.7</v>
      </c>
      <c r="L670" s="1" t="n">
        <v>190667.23</v>
      </c>
      <c r="M670" s="0" t="n">
        <v>190027.53</v>
      </c>
      <c r="N670" s="0" t="n">
        <v>639.7</v>
      </c>
      <c r="O670" s="0" t="n">
        <v>69699.89</v>
      </c>
      <c r="P670" s="1" t="n">
        <v>392.58</v>
      </c>
      <c r="Q670" s="0" t="n">
        <v>0</v>
      </c>
      <c r="R670" s="0" t="n">
        <v>5</v>
      </c>
      <c r="S670" s="0" t="s">
        <v>32</v>
      </c>
      <c r="T670" s="0" t="str">
        <f aca="false">IF(L670="inf","False","True")</f>
        <v>True</v>
      </c>
      <c r="U670" s="0" t="str">
        <f aca="false">IF(V670="inf","False","True")</f>
        <v>False</v>
      </c>
      <c r="V670" s="4" t="s">
        <v>37</v>
      </c>
      <c r="W670" s="4" t="s">
        <v>37</v>
      </c>
      <c r="X670" s="0" t="n">
        <v>61.23</v>
      </c>
      <c r="Y670" s="5" t="e">
        <f aca="false">V670-L670</f>
        <v>#VALUE!</v>
      </c>
      <c r="Z670" s="6" t="e">
        <f aca="false">Y670/L670</f>
        <v>#VALUE!</v>
      </c>
      <c r="AA670" s="3" t="n">
        <f aca="false">X670-P670</f>
        <v>-331.35</v>
      </c>
      <c r="AB670" s="6" t="n">
        <f aca="false">AA670/P670</f>
        <v>-0.844031789698915</v>
      </c>
    </row>
    <row r="671" customFormat="false" ht="12.75" hidden="false" customHeight="false" outlineLevel="0" collapsed="false">
      <c r="A671" s="0" t="s">
        <v>776</v>
      </c>
      <c r="B671" s="0" t="n">
        <v>4</v>
      </c>
      <c r="C671" s="0" t="s">
        <v>31</v>
      </c>
      <c r="D671" s="0" t="s">
        <v>31</v>
      </c>
      <c r="E671" s="0" t="n">
        <v>416</v>
      </c>
      <c r="F671" s="0" t="n">
        <v>744</v>
      </c>
      <c r="G671" s="0" t="n">
        <v>15</v>
      </c>
      <c r="H671" s="0" t="n">
        <v>12</v>
      </c>
      <c r="I671" s="0" t="n">
        <v>12</v>
      </c>
      <c r="J671" s="0" t="n">
        <v>4</v>
      </c>
      <c r="K671" s="0" t="n">
        <v>0.7</v>
      </c>
      <c r="L671" s="1" t="n">
        <v>744</v>
      </c>
      <c r="M671" s="0" t="n">
        <v>0</v>
      </c>
      <c r="N671" s="0" t="n">
        <v>744</v>
      </c>
      <c r="O671" s="0" t="n">
        <v>72314</v>
      </c>
      <c r="P671" s="1" t="n">
        <v>26.66</v>
      </c>
      <c r="Q671" s="0" t="n">
        <v>0</v>
      </c>
      <c r="R671" s="0" t="n">
        <v>5</v>
      </c>
      <c r="S671" s="0" t="s">
        <v>42</v>
      </c>
      <c r="T671" s="0" t="str">
        <f aca="false">IF(L671="inf","False","True")</f>
        <v>True</v>
      </c>
      <c r="U671" s="0" t="str">
        <f aca="false">IF(V671="inf","False","True")</f>
        <v>False</v>
      </c>
      <c r="V671" s="4" t="s">
        <v>37</v>
      </c>
      <c r="W671" s="4" t="s">
        <v>37</v>
      </c>
      <c r="X671" s="0" t="n">
        <v>64.37</v>
      </c>
      <c r="Y671" s="5" t="e">
        <f aca="false">V671-L671</f>
        <v>#VALUE!</v>
      </c>
      <c r="Z671" s="6" t="e">
        <f aca="false">Y671/L671</f>
        <v>#VALUE!</v>
      </c>
      <c r="AA671" s="3" t="n">
        <f aca="false">X671-P671</f>
        <v>37.71</v>
      </c>
      <c r="AB671" s="6" t="n">
        <f aca="false">AA671/P671</f>
        <v>1.41447861965491</v>
      </c>
    </row>
    <row r="672" customFormat="false" ht="12.75" hidden="false" customHeight="false" outlineLevel="0" collapsed="false">
      <c r="A672" s="0" t="s">
        <v>777</v>
      </c>
      <c r="B672" s="0" t="n">
        <v>0</v>
      </c>
      <c r="C672" s="0" t="s">
        <v>31</v>
      </c>
      <c r="D672" s="0" t="s">
        <v>31</v>
      </c>
      <c r="E672" s="0" t="n">
        <v>583</v>
      </c>
      <c r="F672" s="0" t="n">
        <v>975</v>
      </c>
      <c r="G672" s="0" t="n">
        <v>15</v>
      </c>
      <c r="H672" s="0" t="n">
        <v>12</v>
      </c>
      <c r="I672" s="0" t="n">
        <v>12</v>
      </c>
      <c r="J672" s="0" t="n">
        <v>4</v>
      </c>
      <c r="K672" s="0" t="n">
        <v>0.7</v>
      </c>
      <c r="L672" s="1" t="n">
        <v>19540.82</v>
      </c>
      <c r="M672" s="0" t="n">
        <v>18567.48</v>
      </c>
      <c r="N672" s="0" t="n">
        <v>973.33</v>
      </c>
      <c r="O672" s="0" t="n">
        <v>99579.56</v>
      </c>
      <c r="P672" s="1" t="n">
        <v>50.84</v>
      </c>
      <c r="Q672" s="0" t="n">
        <v>0</v>
      </c>
      <c r="R672" s="0" t="n">
        <v>1</v>
      </c>
      <c r="S672" s="0" t="s">
        <v>42</v>
      </c>
      <c r="T672" s="0" t="str">
        <f aca="false">IF(L672="inf","False","True")</f>
        <v>True</v>
      </c>
      <c r="U672" s="0" t="str">
        <f aca="false">IF(V672="inf","False","True")</f>
        <v>False</v>
      </c>
      <c r="V672" s="4" t="s">
        <v>37</v>
      </c>
      <c r="W672" s="4" t="s">
        <v>37</v>
      </c>
      <c r="X672" s="0" t="n">
        <v>47.18</v>
      </c>
      <c r="Y672" s="5" t="e">
        <f aca="false">V672-L672</f>
        <v>#VALUE!</v>
      </c>
      <c r="Z672" s="6" t="e">
        <f aca="false">Y672/L672</f>
        <v>#VALUE!</v>
      </c>
      <c r="AA672" s="3" t="n">
        <f aca="false">X672-P672</f>
        <v>-3.66</v>
      </c>
      <c r="AB672" s="6" t="n">
        <f aca="false">AA672/P672</f>
        <v>-0.0719905586152636</v>
      </c>
    </row>
    <row r="673" customFormat="false" ht="12.75" hidden="false" customHeight="false" outlineLevel="0" collapsed="false">
      <c r="A673" s="0" t="s">
        <v>778</v>
      </c>
      <c r="B673" s="0" t="n">
        <v>1</v>
      </c>
      <c r="C673" s="0" t="s">
        <v>31</v>
      </c>
      <c r="D673" s="0" t="s">
        <v>31</v>
      </c>
      <c r="E673" s="0" t="n">
        <v>583</v>
      </c>
      <c r="F673" s="0" t="n">
        <v>1005</v>
      </c>
      <c r="G673" s="0" t="n">
        <v>15</v>
      </c>
      <c r="H673" s="0" t="n">
        <v>12</v>
      </c>
      <c r="I673" s="0" t="n">
        <v>12</v>
      </c>
      <c r="J673" s="0" t="n">
        <v>4</v>
      </c>
      <c r="K673" s="0" t="n">
        <v>0.7</v>
      </c>
      <c r="L673" s="1" t="n">
        <v>362751.26</v>
      </c>
      <c r="M673" s="0" t="n">
        <v>361780.64</v>
      </c>
      <c r="N673" s="0" t="n">
        <v>970.61</v>
      </c>
      <c r="O673" s="0" t="n">
        <v>105084.56</v>
      </c>
      <c r="P673" s="1" t="n">
        <v>337.04</v>
      </c>
      <c r="Q673" s="0" t="n">
        <v>0</v>
      </c>
      <c r="R673" s="0" t="n">
        <v>9</v>
      </c>
      <c r="S673" s="0" t="s">
        <v>32</v>
      </c>
      <c r="T673" s="0" t="str">
        <f aca="false">IF(L673="inf","False","True")</f>
        <v>True</v>
      </c>
      <c r="U673" s="0" t="str">
        <f aca="false">IF(V673="inf","False","True")</f>
        <v>False</v>
      </c>
      <c r="V673" s="4" t="s">
        <v>37</v>
      </c>
      <c r="W673" s="4" t="s">
        <v>37</v>
      </c>
      <c r="X673" s="0" t="n">
        <v>38.07</v>
      </c>
      <c r="Y673" s="5" t="e">
        <f aca="false">V673-L673</f>
        <v>#VALUE!</v>
      </c>
      <c r="Z673" s="6" t="e">
        <f aca="false">Y673/L673</f>
        <v>#VALUE!</v>
      </c>
      <c r="AA673" s="3" t="n">
        <f aca="false">X673-P673</f>
        <v>-298.97</v>
      </c>
      <c r="AB673" s="6" t="n">
        <f aca="false">AA673/P673</f>
        <v>-0.887046047946831</v>
      </c>
    </row>
    <row r="674" customFormat="false" ht="12.75" hidden="false" customHeight="false" outlineLevel="0" collapsed="false">
      <c r="A674" s="0" t="s">
        <v>779</v>
      </c>
      <c r="B674" s="0" t="n">
        <v>2</v>
      </c>
      <c r="C674" s="0" t="s">
        <v>31</v>
      </c>
      <c r="D674" s="0" t="s">
        <v>31</v>
      </c>
      <c r="E674" s="0" t="n">
        <v>583</v>
      </c>
      <c r="F674" s="0" t="n">
        <v>950</v>
      </c>
      <c r="G674" s="0" t="n">
        <v>15</v>
      </c>
      <c r="H674" s="0" t="n">
        <v>12</v>
      </c>
      <c r="I674" s="0" t="n">
        <v>12</v>
      </c>
      <c r="J674" s="0" t="n">
        <v>4</v>
      </c>
      <c r="K674" s="0" t="n">
        <v>0.7</v>
      </c>
      <c r="L674" s="1" t="n">
        <v>351184.26</v>
      </c>
      <c r="M674" s="0" t="n">
        <v>350278.09</v>
      </c>
      <c r="N674" s="0" t="n">
        <v>906.17</v>
      </c>
      <c r="O674" s="0" t="n">
        <v>96864.43</v>
      </c>
      <c r="P674" s="1" t="n">
        <v>605.83</v>
      </c>
      <c r="Q674" s="0" t="n">
        <v>0</v>
      </c>
      <c r="R674" s="0" t="n">
        <v>13</v>
      </c>
      <c r="S674" s="0" t="s">
        <v>32</v>
      </c>
      <c r="T674" s="0" t="str">
        <f aca="false">IF(L674="inf","False","True")</f>
        <v>True</v>
      </c>
      <c r="U674" s="0" t="str">
        <f aca="false">IF(V674="inf","False","True")</f>
        <v>False</v>
      </c>
      <c r="V674" s="4" t="s">
        <v>37</v>
      </c>
      <c r="W674" s="4" t="s">
        <v>37</v>
      </c>
      <c r="X674" s="0" t="n">
        <v>42.62</v>
      </c>
      <c r="Y674" s="5" t="e">
        <f aca="false">V674-L674</f>
        <v>#VALUE!</v>
      </c>
      <c r="Z674" s="6" t="e">
        <f aca="false">Y674/L674</f>
        <v>#VALUE!</v>
      </c>
      <c r="AA674" s="3" t="n">
        <f aca="false">X674-P674</f>
        <v>-563.21</v>
      </c>
      <c r="AB674" s="6" t="n">
        <f aca="false">AA674/P674</f>
        <v>-0.929650231913243</v>
      </c>
    </row>
    <row r="675" customFormat="false" ht="12.75" hidden="false" customHeight="false" outlineLevel="0" collapsed="false">
      <c r="A675" s="0" t="s">
        <v>780</v>
      </c>
      <c r="B675" s="0" t="n">
        <v>3</v>
      </c>
      <c r="C675" s="0" t="s">
        <v>31</v>
      </c>
      <c r="D675" s="0" t="s">
        <v>31</v>
      </c>
      <c r="E675" s="0" t="n">
        <v>583</v>
      </c>
      <c r="F675" s="0" t="n">
        <v>959</v>
      </c>
      <c r="G675" s="0" t="n">
        <v>15</v>
      </c>
      <c r="H675" s="0" t="n">
        <v>12</v>
      </c>
      <c r="I675" s="0" t="n">
        <v>12</v>
      </c>
      <c r="J675" s="0" t="n">
        <v>4</v>
      </c>
      <c r="K675" s="0" t="n">
        <v>0.7</v>
      </c>
      <c r="L675" s="1" t="n">
        <v>256033.48</v>
      </c>
      <c r="M675" s="0" t="n">
        <v>255155.38</v>
      </c>
      <c r="N675" s="0" t="n">
        <v>878.1</v>
      </c>
      <c r="O675" s="0" t="n">
        <v>100056.77</v>
      </c>
      <c r="P675" s="1" t="n">
        <v>491.69</v>
      </c>
      <c r="Q675" s="0" t="n">
        <v>0</v>
      </c>
      <c r="R675" s="0" t="n">
        <v>17</v>
      </c>
      <c r="S675" s="0" t="s">
        <v>32</v>
      </c>
      <c r="T675" s="0" t="str">
        <f aca="false">IF(L675="inf","False","True")</f>
        <v>True</v>
      </c>
      <c r="U675" s="0" t="str">
        <f aca="false">IF(V675="inf","False","True")</f>
        <v>False</v>
      </c>
      <c r="V675" s="4" t="s">
        <v>37</v>
      </c>
      <c r="W675" s="4" t="s">
        <v>37</v>
      </c>
      <c r="X675" s="0" t="n">
        <v>57.48</v>
      </c>
      <c r="Y675" s="5" t="e">
        <f aca="false">V675-L675</f>
        <v>#VALUE!</v>
      </c>
      <c r="Z675" s="6" t="e">
        <f aca="false">Y675/L675</f>
        <v>#VALUE!</v>
      </c>
      <c r="AA675" s="3" t="n">
        <f aca="false">X675-P675</f>
        <v>-434.21</v>
      </c>
      <c r="AB675" s="6" t="n">
        <f aca="false">AA675/P675</f>
        <v>-0.88309707335923</v>
      </c>
    </row>
    <row r="676" customFormat="false" ht="12.75" hidden="false" customHeight="false" outlineLevel="0" collapsed="false">
      <c r="A676" s="0" t="s">
        <v>781</v>
      </c>
      <c r="B676" s="0" t="n">
        <v>4</v>
      </c>
      <c r="C676" s="0" t="s">
        <v>31</v>
      </c>
      <c r="D676" s="0" t="s">
        <v>31</v>
      </c>
      <c r="E676" s="0" t="n">
        <v>583</v>
      </c>
      <c r="F676" s="0" t="n">
        <v>1050</v>
      </c>
      <c r="G676" s="0" t="n">
        <v>15</v>
      </c>
      <c r="H676" s="0" t="n">
        <v>12</v>
      </c>
      <c r="I676" s="0" t="n">
        <v>12</v>
      </c>
      <c r="J676" s="0" t="n">
        <v>4</v>
      </c>
      <c r="K676" s="0" t="n">
        <v>0.7</v>
      </c>
      <c r="L676" s="1" t="n">
        <v>1050</v>
      </c>
      <c r="M676" s="0" t="n">
        <v>0</v>
      </c>
      <c r="N676" s="0" t="n">
        <v>1050</v>
      </c>
      <c r="O676" s="0" t="n">
        <v>101179</v>
      </c>
      <c r="P676" s="1" t="n">
        <v>18.53</v>
      </c>
      <c r="Q676" s="0" t="n">
        <v>0</v>
      </c>
      <c r="R676" s="0" t="n">
        <v>1</v>
      </c>
      <c r="S676" s="0" t="s">
        <v>42</v>
      </c>
      <c r="T676" s="0" t="str">
        <f aca="false">IF(L676="inf","False","True")</f>
        <v>True</v>
      </c>
      <c r="U676" s="0" t="str">
        <f aca="false">IF(V676="inf","False","True")</f>
        <v>False</v>
      </c>
      <c r="V676" s="4" t="s">
        <v>37</v>
      </c>
      <c r="W676" s="4" t="s">
        <v>37</v>
      </c>
      <c r="X676" s="0" t="n">
        <v>63.34</v>
      </c>
      <c r="Y676" s="5" t="e">
        <f aca="false">V676-L676</f>
        <v>#VALUE!</v>
      </c>
      <c r="Z676" s="6" t="e">
        <f aca="false">Y676/L676</f>
        <v>#VALUE!</v>
      </c>
      <c r="AA676" s="3" t="n">
        <f aca="false">X676-P676</f>
        <v>44.81</v>
      </c>
      <c r="AB676" s="6" t="n">
        <f aca="false">AA676/P676</f>
        <v>2.41824069077172</v>
      </c>
    </row>
    <row r="677" customFormat="false" ht="12.75" hidden="false" customHeight="false" outlineLevel="0" collapsed="false">
      <c r="A677" s="0" t="s">
        <v>782</v>
      </c>
      <c r="B677" s="0" t="n">
        <v>0</v>
      </c>
      <c r="C677" s="0" t="s">
        <v>31</v>
      </c>
      <c r="D677" s="0" t="s">
        <v>31</v>
      </c>
      <c r="E677" s="0" t="n">
        <v>833</v>
      </c>
      <c r="F677" s="0" t="n">
        <v>1399</v>
      </c>
      <c r="G677" s="0" t="n">
        <v>15</v>
      </c>
      <c r="H677" s="0" t="n">
        <v>12</v>
      </c>
      <c r="I677" s="0" t="n">
        <v>12</v>
      </c>
      <c r="J677" s="0" t="n">
        <v>4</v>
      </c>
      <c r="K677" s="0" t="n">
        <v>0.7</v>
      </c>
      <c r="L677" s="1" t="n">
        <v>29465.67</v>
      </c>
      <c r="M677" s="0" t="n">
        <v>28089.45</v>
      </c>
      <c r="N677" s="0" t="n">
        <v>1376.23</v>
      </c>
      <c r="O677" s="0" t="n">
        <v>144726.82</v>
      </c>
      <c r="P677" s="1" t="n">
        <v>71.29</v>
      </c>
      <c r="Q677" s="0" t="n">
        <v>0</v>
      </c>
      <c r="R677" s="0" t="n">
        <v>2</v>
      </c>
      <c r="S677" s="0" t="s">
        <v>783</v>
      </c>
      <c r="T677" s="0" t="str">
        <f aca="false">IF(L677="inf","False","True")</f>
        <v>True</v>
      </c>
      <c r="U677" s="0" t="str">
        <f aca="false">IF(V677="inf","False","True")</f>
        <v>False</v>
      </c>
      <c r="V677" s="4" t="s">
        <v>37</v>
      </c>
      <c r="W677" s="4" t="s">
        <v>37</v>
      </c>
      <c r="X677" s="0" t="n">
        <v>46.77</v>
      </c>
      <c r="Y677" s="5" t="e">
        <f aca="false">V677-L677</f>
        <v>#VALUE!</v>
      </c>
      <c r="Z677" s="6" t="e">
        <f aca="false">Y677/L677</f>
        <v>#VALUE!</v>
      </c>
      <c r="AA677" s="3" t="n">
        <f aca="false">X677-P677</f>
        <v>-24.52</v>
      </c>
      <c r="AB677" s="6" t="n">
        <f aca="false">AA677/P677</f>
        <v>-0.343947257679899</v>
      </c>
    </row>
    <row r="678" customFormat="false" ht="12.75" hidden="false" customHeight="false" outlineLevel="0" collapsed="false">
      <c r="A678" s="0" t="s">
        <v>784</v>
      </c>
      <c r="B678" s="0" t="n">
        <v>1</v>
      </c>
      <c r="C678" s="0" t="s">
        <v>31</v>
      </c>
      <c r="D678" s="0" t="s">
        <v>31</v>
      </c>
      <c r="E678" s="0" t="n">
        <v>833</v>
      </c>
      <c r="F678" s="0" t="n">
        <v>1438</v>
      </c>
      <c r="G678" s="0" t="n">
        <v>15</v>
      </c>
      <c r="H678" s="0" t="n">
        <v>12</v>
      </c>
      <c r="I678" s="0" t="n">
        <v>12</v>
      </c>
      <c r="J678" s="0" t="n">
        <v>4</v>
      </c>
      <c r="K678" s="0" t="n">
        <v>0.7</v>
      </c>
      <c r="L678" s="1" t="n">
        <v>387331.09</v>
      </c>
      <c r="M678" s="0" t="n">
        <v>385958.99</v>
      </c>
      <c r="N678" s="0" t="n">
        <v>1372.09</v>
      </c>
      <c r="O678" s="0" t="n">
        <v>156193.04</v>
      </c>
      <c r="P678" s="1" t="n">
        <v>615.21</v>
      </c>
      <c r="Q678" s="0" t="n">
        <v>0</v>
      </c>
      <c r="R678" s="0" t="n">
        <v>15</v>
      </c>
      <c r="S678" s="0" t="s">
        <v>32</v>
      </c>
      <c r="T678" s="0" t="str">
        <f aca="false">IF(L678="inf","False","True")</f>
        <v>True</v>
      </c>
      <c r="U678" s="0" t="str">
        <f aca="false">IF(V678="inf","False","True")</f>
        <v>False</v>
      </c>
      <c r="V678" s="4" t="s">
        <v>37</v>
      </c>
      <c r="W678" s="4" t="s">
        <v>37</v>
      </c>
      <c r="X678" s="0" t="n">
        <v>39.6</v>
      </c>
      <c r="Y678" s="5" t="e">
        <f aca="false">V678-L678</f>
        <v>#VALUE!</v>
      </c>
      <c r="Z678" s="6" t="e">
        <f aca="false">Y678/L678</f>
        <v>#VALUE!</v>
      </c>
      <c r="AA678" s="3" t="n">
        <f aca="false">X678-P678</f>
        <v>-575.61</v>
      </c>
      <c r="AB678" s="6" t="n">
        <f aca="false">AA678/P678</f>
        <v>-0.93563173550495</v>
      </c>
    </row>
    <row r="679" customFormat="false" ht="12.75" hidden="false" customHeight="false" outlineLevel="0" collapsed="false">
      <c r="A679" s="0" t="s">
        <v>785</v>
      </c>
      <c r="B679" s="0" t="n">
        <v>2</v>
      </c>
      <c r="C679" s="0" t="s">
        <v>31</v>
      </c>
      <c r="D679" s="0" t="s">
        <v>31</v>
      </c>
      <c r="E679" s="0" t="n">
        <v>833</v>
      </c>
      <c r="F679" s="0" t="n">
        <v>1358</v>
      </c>
      <c r="G679" s="0" t="n">
        <v>15</v>
      </c>
      <c r="H679" s="0" t="n">
        <v>12</v>
      </c>
      <c r="I679" s="0" t="n">
        <v>12</v>
      </c>
      <c r="J679" s="0" t="n">
        <v>4</v>
      </c>
      <c r="K679" s="0" t="n">
        <v>0.7</v>
      </c>
      <c r="L679" s="1" t="n">
        <v>501313.11</v>
      </c>
      <c r="M679" s="0" t="n">
        <v>500040.62</v>
      </c>
      <c r="N679" s="0" t="n">
        <v>1272.5</v>
      </c>
      <c r="O679" s="0" t="n">
        <v>137218.83</v>
      </c>
      <c r="P679" s="1" t="n">
        <v>639.36</v>
      </c>
      <c r="Q679" s="0" t="n">
        <v>0</v>
      </c>
      <c r="R679" s="0" t="n">
        <v>13</v>
      </c>
      <c r="S679" s="0" t="s">
        <v>32</v>
      </c>
      <c r="T679" s="0" t="str">
        <f aca="false">IF(L679="inf","False","True")</f>
        <v>True</v>
      </c>
      <c r="U679" s="0" t="str">
        <f aca="false">IF(V679="inf","False","True")</f>
        <v>False</v>
      </c>
      <c r="V679" s="4" t="s">
        <v>37</v>
      </c>
      <c r="W679" s="4" t="s">
        <v>37</v>
      </c>
      <c r="X679" s="0" t="n">
        <v>40.66</v>
      </c>
      <c r="Y679" s="5" t="e">
        <f aca="false">V679-L679</f>
        <v>#VALUE!</v>
      </c>
      <c r="Z679" s="6" t="e">
        <f aca="false">Y679/L679</f>
        <v>#VALUE!</v>
      </c>
      <c r="AA679" s="3" t="n">
        <f aca="false">X679-P679</f>
        <v>-598.7</v>
      </c>
      <c r="AB679" s="6" t="n">
        <f aca="false">AA679/P679</f>
        <v>-0.936405155155155</v>
      </c>
    </row>
    <row r="680" customFormat="false" ht="12.75" hidden="false" customHeight="false" outlineLevel="0" collapsed="false">
      <c r="A680" s="0" t="s">
        <v>786</v>
      </c>
      <c r="B680" s="0" t="n">
        <v>3</v>
      </c>
      <c r="C680" s="0" t="s">
        <v>31</v>
      </c>
      <c r="D680" s="0" t="s">
        <v>31</v>
      </c>
      <c r="E680" s="0" t="n">
        <v>833</v>
      </c>
      <c r="F680" s="0" t="n">
        <v>1371</v>
      </c>
      <c r="G680" s="0" t="n">
        <v>15</v>
      </c>
      <c r="H680" s="0" t="n">
        <v>12</v>
      </c>
      <c r="I680" s="0" t="n">
        <v>12</v>
      </c>
      <c r="J680" s="0" t="n">
        <v>4</v>
      </c>
      <c r="K680" s="0" t="n">
        <v>0.7</v>
      </c>
      <c r="L680" s="1" t="n">
        <v>324888.62</v>
      </c>
      <c r="M680" s="0" t="n">
        <v>323639.96</v>
      </c>
      <c r="N680" s="0" t="n">
        <v>1248.66</v>
      </c>
      <c r="O680" s="0" t="n">
        <v>145949.79</v>
      </c>
      <c r="P680" s="1" t="n">
        <v>549.18</v>
      </c>
      <c r="Q680" s="0" t="n">
        <v>0</v>
      </c>
      <c r="R680" s="0" t="n">
        <v>3</v>
      </c>
      <c r="S680" s="0" t="s">
        <v>32</v>
      </c>
      <c r="T680" s="0" t="str">
        <f aca="false">IF(L680="inf","False","True")</f>
        <v>True</v>
      </c>
      <c r="U680" s="0" t="str">
        <f aca="false">IF(V680="inf","False","True")</f>
        <v>False</v>
      </c>
      <c r="V680" s="4" t="s">
        <v>37</v>
      </c>
      <c r="W680" s="4" t="s">
        <v>37</v>
      </c>
      <c r="X680" s="0" t="n">
        <v>64.23</v>
      </c>
      <c r="Y680" s="5" t="e">
        <f aca="false">V680-L680</f>
        <v>#VALUE!</v>
      </c>
      <c r="Z680" s="6" t="e">
        <f aca="false">Y680/L680</f>
        <v>#VALUE!</v>
      </c>
      <c r="AA680" s="3" t="n">
        <f aca="false">X680-P680</f>
        <v>-484.95</v>
      </c>
      <c r="AB680" s="6" t="n">
        <f aca="false">AA680/P680</f>
        <v>-0.883043810772424</v>
      </c>
    </row>
    <row r="681" customFormat="false" ht="12.75" hidden="false" customHeight="false" outlineLevel="0" collapsed="false">
      <c r="A681" s="0" t="s">
        <v>787</v>
      </c>
      <c r="B681" s="0" t="n">
        <v>4</v>
      </c>
      <c r="C681" s="0" t="s">
        <v>31</v>
      </c>
      <c r="D681" s="0" t="s">
        <v>31</v>
      </c>
      <c r="E681" s="0" t="n">
        <v>833</v>
      </c>
      <c r="F681" s="0" t="n">
        <v>1500</v>
      </c>
      <c r="G681" s="0" t="n">
        <v>15</v>
      </c>
      <c r="H681" s="0" t="n">
        <v>12</v>
      </c>
      <c r="I681" s="0" t="n">
        <v>12</v>
      </c>
      <c r="J681" s="0" t="n">
        <v>4</v>
      </c>
      <c r="K681" s="0" t="n">
        <v>0.7</v>
      </c>
      <c r="L681" s="1" t="n">
        <v>1500</v>
      </c>
      <c r="M681" s="0" t="n">
        <v>0</v>
      </c>
      <c r="N681" s="0" t="n">
        <v>1500</v>
      </c>
      <c r="O681" s="0" t="n">
        <v>144505</v>
      </c>
      <c r="P681" s="1" t="n">
        <v>16.88</v>
      </c>
      <c r="Q681" s="0" t="n">
        <v>0</v>
      </c>
      <c r="R681" s="0" t="n">
        <v>1</v>
      </c>
      <c r="S681" s="0" t="s">
        <v>42</v>
      </c>
      <c r="T681" s="0" t="str">
        <f aca="false">IF(L681="inf","False","True")</f>
        <v>True</v>
      </c>
      <c r="U681" s="0" t="str">
        <f aca="false">IF(V681="inf","False","True")</f>
        <v>False</v>
      </c>
      <c r="V681" s="4" t="s">
        <v>37</v>
      </c>
      <c r="W681" s="4" t="s">
        <v>37</v>
      </c>
      <c r="X681" s="0" t="n">
        <v>58.18</v>
      </c>
      <c r="Y681" s="5" t="e">
        <f aca="false">V681-L681</f>
        <v>#VALUE!</v>
      </c>
      <c r="Z681" s="6" t="e">
        <f aca="false">Y681/L681</f>
        <v>#VALUE!</v>
      </c>
      <c r="AA681" s="3" t="n">
        <f aca="false">X681-P681</f>
        <v>41.3</v>
      </c>
      <c r="AB681" s="6" t="n">
        <f aca="false">AA681/P681</f>
        <v>2.44668246445498</v>
      </c>
    </row>
    <row r="682" customFormat="false" ht="12.75" hidden="false" customHeight="false" outlineLevel="0" collapsed="false">
      <c r="A682" s="0" t="s">
        <v>788</v>
      </c>
      <c r="B682" s="0" t="n">
        <v>0</v>
      </c>
      <c r="C682" s="0" t="s">
        <v>31</v>
      </c>
      <c r="D682" s="0" t="s">
        <v>31</v>
      </c>
      <c r="E682" s="0" t="n">
        <v>250</v>
      </c>
      <c r="F682" s="0" t="n">
        <v>484</v>
      </c>
      <c r="G682" s="0" t="n">
        <v>15</v>
      </c>
      <c r="H682" s="0" t="n">
        <v>12</v>
      </c>
      <c r="I682" s="0" t="n">
        <v>12</v>
      </c>
      <c r="J682" s="0" t="n">
        <v>8</v>
      </c>
      <c r="K682" s="0" t="n">
        <v>0.7</v>
      </c>
      <c r="L682" s="1" t="n">
        <v>98027.26</v>
      </c>
      <c r="M682" s="0" t="n">
        <v>97576.12</v>
      </c>
      <c r="N682" s="0" t="n">
        <v>451.14</v>
      </c>
      <c r="O682" s="0" t="n">
        <v>39948.74</v>
      </c>
      <c r="P682" s="1" t="n">
        <v>642.05</v>
      </c>
      <c r="Q682" s="0" t="n">
        <v>0.15</v>
      </c>
      <c r="R682" s="0" t="n">
        <v>2</v>
      </c>
      <c r="S682" s="0" t="s">
        <v>789</v>
      </c>
      <c r="T682" s="0" t="str">
        <f aca="false">IF(L682="inf","False","True")</f>
        <v>True</v>
      </c>
      <c r="U682" s="0" t="str">
        <f aca="false">IF(V682="inf","False","True")</f>
        <v>True</v>
      </c>
      <c r="V682" s="4" t="n">
        <v>128574.11</v>
      </c>
      <c r="W682" s="4" t="n">
        <v>40042.02</v>
      </c>
      <c r="X682" s="0" t="n">
        <v>525.71</v>
      </c>
      <c r="Y682" s="5" t="n">
        <f aca="false">V682-L682</f>
        <v>30546.85</v>
      </c>
      <c r="Z682" s="6" t="n">
        <f aca="false">Y682/L682</f>
        <v>0.311615870932229</v>
      </c>
      <c r="AA682" s="3" t="n">
        <f aca="false">X682-P682</f>
        <v>-116.34</v>
      </c>
      <c r="AB682" s="6" t="n">
        <f aca="false">AA682/P682</f>
        <v>-0.181200841055992</v>
      </c>
    </row>
    <row r="683" customFormat="false" ht="12.75" hidden="false" customHeight="false" outlineLevel="0" collapsed="false">
      <c r="A683" s="0" t="s">
        <v>790</v>
      </c>
      <c r="B683" s="0" t="n">
        <v>1</v>
      </c>
      <c r="C683" s="0" t="s">
        <v>31</v>
      </c>
      <c r="D683" s="0" t="s">
        <v>31</v>
      </c>
      <c r="E683" s="0" t="n">
        <v>250</v>
      </c>
      <c r="F683" s="0" t="n">
        <v>521</v>
      </c>
      <c r="G683" s="0" t="n">
        <v>15</v>
      </c>
      <c r="H683" s="0" t="n">
        <v>12</v>
      </c>
      <c r="I683" s="0" t="n">
        <v>12</v>
      </c>
      <c r="J683" s="0" t="n">
        <v>8</v>
      </c>
      <c r="K683" s="0" t="n">
        <v>0.7</v>
      </c>
      <c r="L683" s="1" t="n">
        <v>152214.9</v>
      </c>
      <c r="M683" s="0" t="n">
        <v>151746.66</v>
      </c>
      <c r="N683" s="0" t="n">
        <v>468.24</v>
      </c>
      <c r="O683" s="0" t="n">
        <v>39042.08</v>
      </c>
      <c r="P683" s="1" t="n">
        <v>553.18</v>
      </c>
      <c r="Q683" s="0" t="n">
        <v>0</v>
      </c>
      <c r="R683" s="0" t="n">
        <v>30</v>
      </c>
      <c r="S683" s="0" t="s">
        <v>32</v>
      </c>
      <c r="T683" s="0" t="str">
        <f aca="false">IF(L683="inf","False","True")</f>
        <v>True</v>
      </c>
      <c r="U683" s="0" t="str">
        <f aca="false">IF(V683="inf","False","True")</f>
        <v>False</v>
      </c>
      <c r="V683" s="4" t="s">
        <v>37</v>
      </c>
      <c r="W683" s="4" t="s">
        <v>37</v>
      </c>
      <c r="X683" s="0" t="n">
        <v>99.39</v>
      </c>
      <c r="Y683" s="5" t="e">
        <f aca="false">V683-L683</f>
        <v>#VALUE!</v>
      </c>
      <c r="Z683" s="6" t="e">
        <f aca="false">Y683/L683</f>
        <v>#VALUE!</v>
      </c>
      <c r="AA683" s="3" t="n">
        <f aca="false">X683-P683</f>
        <v>-453.79</v>
      </c>
      <c r="AB683" s="6" t="n">
        <f aca="false">AA683/P683</f>
        <v>-0.82032972992516</v>
      </c>
    </row>
    <row r="684" customFormat="false" ht="12.75" hidden="false" customHeight="false" outlineLevel="0" collapsed="false">
      <c r="A684" s="0" t="s">
        <v>791</v>
      </c>
      <c r="B684" s="0" t="n">
        <v>2</v>
      </c>
      <c r="C684" s="0" t="s">
        <v>31</v>
      </c>
      <c r="D684" s="0" t="s">
        <v>31</v>
      </c>
      <c r="E684" s="0" t="n">
        <v>250</v>
      </c>
      <c r="F684" s="0" t="n">
        <v>489</v>
      </c>
      <c r="G684" s="0" t="n">
        <v>15</v>
      </c>
      <c r="H684" s="0" t="n">
        <v>12</v>
      </c>
      <c r="I684" s="0" t="n">
        <v>12</v>
      </c>
      <c r="J684" s="0" t="n">
        <v>8</v>
      </c>
      <c r="K684" s="0" t="n">
        <v>0.7</v>
      </c>
      <c r="L684" s="1" t="n">
        <v>489</v>
      </c>
      <c r="M684" s="0" t="n">
        <v>0</v>
      </c>
      <c r="N684" s="0" t="n">
        <v>489</v>
      </c>
      <c r="O684" s="0" t="n">
        <v>39157</v>
      </c>
      <c r="P684" s="1" t="n">
        <v>48.64</v>
      </c>
      <c r="Q684" s="0" t="n">
        <v>0</v>
      </c>
      <c r="R684" s="0" t="n">
        <v>6</v>
      </c>
      <c r="S684" s="0" t="s">
        <v>42</v>
      </c>
      <c r="T684" s="0" t="str">
        <f aca="false">IF(L684="inf","False","True")</f>
        <v>True</v>
      </c>
      <c r="U684" s="0" t="str">
        <f aca="false">IF(V684="inf","False","True")</f>
        <v>True</v>
      </c>
      <c r="V684" s="4" t="n">
        <v>113518.93</v>
      </c>
      <c r="W684" s="4" t="n">
        <v>36607.99</v>
      </c>
      <c r="X684" s="0" t="n">
        <v>359</v>
      </c>
      <c r="Y684" s="5" t="n">
        <f aca="false">V684-L684</f>
        <v>113029.93</v>
      </c>
      <c r="Z684" s="6" t="n">
        <f aca="false">Y684/L684</f>
        <v>231.145051124744</v>
      </c>
      <c r="AA684" s="3" t="n">
        <f aca="false">X684-P684</f>
        <v>310.36</v>
      </c>
      <c r="AB684" s="6" t="n">
        <f aca="false">AA684/P684</f>
        <v>6.38075657894737</v>
      </c>
    </row>
    <row r="685" customFormat="false" ht="12.75" hidden="false" customHeight="false" outlineLevel="0" collapsed="false">
      <c r="A685" s="0" t="s">
        <v>792</v>
      </c>
      <c r="B685" s="0" t="n">
        <v>3</v>
      </c>
      <c r="C685" s="0" t="s">
        <v>31</v>
      </c>
      <c r="D685" s="0" t="s">
        <v>31</v>
      </c>
      <c r="E685" s="0" t="n">
        <v>250</v>
      </c>
      <c r="F685" s="0" t="n">
        <v>481</v>
      </c>
      <c r="G685" s="0" t="n">
        <v>15</v>
      </c>
      <c r="H685" s="0" t="n">
        <v>12</v>
      </c>
      <c r="I685" s="0" t="n">
        <v>12</v>
      </c>
      <c r="J685" s="0" t="n">
        <v>8</v>
      </c>
      <c r="K685" s="0" t="n">
        <v>0.7</v>
      </c>
      <c r="L685" s="1" t="n">
        <v>158409.15</v>
      </c>
      <c r="M685" s="0" t="n">
        <v>157977.86</v>
      </c>
      <c r="N685" s="0" t="n">
        <v>431.29</v>
      </c>
      <c r="O685" s="0" t="n">
        <v>38243.58</v>
      </c>
      <c r="P685" s="1" t="n">
        <v>620.52</v>
      </c>
      <c r="Q685" s="0" t="n">
        <v>0</v>
      </c>
      <c r="R685" s="0" t="n">
        <v>3</v>
      </c>
      <c r="S685" s="0" t="s">
        <v>32</v>
      </c>
      <c r="T685" s="0" t="str">
        <f aca="false">IF(L685="inf","False","True")</f>
        <v>True</v>
      </c>
      <c r="U685" s="0" t="str">
        <f aca="false">IF(V685="inf","False","True")</f>
        <v>False</v>
      </c>
      <c r="V685" s="4" t="s">
        <v>37</v>
      </c>
      <c r="W685" s="4" t="s">
        <v>37</v>
      </c>
      <c r="X685" s="0" t="n">
        <v>79.8</v>
      </c>
      <c r="Y685" s="5" t="e">
        <f aca="false">V685-L685</f>
        <v>#VALUE!</v>
      </c>
      <c r="Z685" s="6" t="e">
        <f aca="false">Y685/L685</f>
        <v>#VALUE!</v>
      </c>
      <c r="AA685" s="3" t="n">
        <f aca="false">X685-P685</f>
        <v>-540.72</v>
      </c>
      <c r="AB685" s="6" t="n">
        <f aca="false">AA685/P685</f>
        <v>-0.871398182169793</v>
      </c>
    </row>
    <row r="686" customFormat="false" ht="12.75" hidden="false" customHeight="false" outlineLevel="0" collapsed="false">
      <c r="A686" s="0" t="s">
        <v>793</v>
      </c>
      <c r="B686" s="0" t="n">
        <v>4</v>
      </c>
      <c r="C686" s="0" t="s">
        <v>31</v>
      </c>
      <c r="D686" s="0" t="s">
        <v>31</v>
      </c>
      <c r="E686" s="0" t="n">
        <v>250</v>
      </c>
      <c r="F686" s="0" t="n">
        <v>502</v>
      </c>
      <c r="G686" s="0" t="n">
        <v>15</v>
      </c>
      <c r="H686" s="0" t="n">
        <v>12</v>
      </c>
      <c r="I686" s="0" t="n">
        <v>12</v>
      </c>
      <c r="J686" s="0" t="n">
        <v>8</v>
      </c>
      <c r="K686" s="0" t="n">
        <v>0.7</v>
      </c>
      <c r="L686" s="1" t="n">
        <v>502</v>
      </c>
      <c r="M686" s="0" t="n">
        <v>0</v>
      </c>
      <c r="N686" s="0" t="n">
        <v>502</v>
      </c>
      <c r="O686" s="0" t="n">
        <v>42985</v>
      </c>
      <c r="P686" s="1" t="n">
        <v>28.54</v>
      </c>
      <c r="Q686" s="0" t="n">
        <v>0</v>
      </c>
      <c r="R686" s="0" t="n">
        <v>1</v>
      </c>
      <c r="S686" s="0" t="s">
        <v>42</v>
      </c>
      <c r="T686" s="0" t="str">
        <f aca="false">IF(L686="inf","False","True")</f>
        <v>True</v>
      </c>
      <c r="U686" s="0" t="str">
        <f aca="false">IF(V686="inf","False","True")</f>
        <v>True</v>
      </c>
      <c r="V686" s="4" t="n">
        <v>52648.42</v>
      </c>
      <c r="W686" s="4" t="n">
        <v>40666.94</v>
      </c>
      <c r="X686" s="0" t="n">
        <v>193.86</v>
      </c>
      <c r="Y686" s="5" t="n">
        <f aca="false">V686-L686</f>
        <v>52146.42</v>
      </c>
      <c r="Z686" s="6" t="n">
        <f aca="false">Y686/L686</f>
        <v>103.877330677291</v>
      </c>
      <c r="AA686" s="3" t="n">
        <f aca="false">X686-P686</f>
        <v>165.32</v>
      </c>
      <c r="AB686" s="6" t="n">
        <f aca="false">AA686/P686</f>
        <v>5.79257182901191</v>
      </c>
    </row>
    <row r="687" customFormat="false" ht="12.75" hidden="false" customHeight="false" outlineLevel="0" collapsed="false">
      <c r="A687" s="0" t="s">
        <v>794</v>
      </c>
      <c r="B687" s="0" t="n">
        <v>0</v>
      </c>
      <c r="C687" s="0" t="s">
        <v>31</v>
      </c>
      <c r="D687" s="0" t="s">
        <v>31</v>
      </c>
      <c r="E687" s="0" t="n">
        <v>416</v>
      </c>
      <c r="F687" s="0" t="n">
        <v>811</v>
      </c>
      <c r="G687" s="0" t="n">
        <v>15</v>
      </c>
      <c r="H687" s="0" t="n">
        <v>12</v>
      </c>
      <c r="I687" s="0" t="n">
        <v>12</v>
      </c>
      <c r="J687" s="0" t="n">
        <v>8</v>
      </c>
      <c r="K687" s="0" t="n">
        <v>0.7</v>
      </c>
      <c r="L687" s="1" t="n">
        <v>154839.51</v>
      </c>
      <c r="M687" s="0" t="n">
        <v>154109.83</v>
      </c>
      <c r="N687" s="0" t="n">
        <v>729.68</v>
      </c>
      <c r="O687" s="0" t="n">
        <v>78829.09</v>
      </c>
      <c r="P687" s="1" t="n">
        <v>702.58</v>
      </c>
      <c r="Q687" s="0" t="n">
        <v>0.18</v>
      </c>
      <c r="R687" s="0" t="n">
        <v>6</v>
      </c>
      <c r="S687" s="0" t="s">
        <v>32</v>
      </c>
      <c r="T687" s="0" t="str">
        <f aca="false">IF(L687="inf","False","True")</f>
        <v>True</v>
      </c>
      <c r="U687" s="0" t="str">
        <f aca="false">IF(V687="inf","False","True")</f>
        <v>True</v>
      </c>
      <c r="V687" s="4" t="n">
        <v>233941.94</v>
      </c>
      <c r="W687" s="4" t="n">
        <v>67495.29</v>
      </c>
      <c r="X687" s="0" t="n">
        <v>23.29</v>
      </c>
      <c r="Y687" s="5" t="n">
        <f aca="false">V687-L687</f>
        <v>79102.43</v>
      </c>
      <c r="Z687" s="6" t="n">
        <f aca="false">Y687/L687</f>
        <v>0.510867219871724</v>
      </c>
      <c r="AA687" s="3" t="n">
        <f aca="false">X687-P687</f>
        <v>-679.29</v>
      </c>
      <c r="AB687" s="6" t="n">
        <f aca="false">AA687/P687</f>
        <v>-0.966850750092516</v>
      </c>
    </row>
    <row r="688" customFormat="false" ht="12.75" hidden="false" customHeight="false" outlineLevel="0" collapsed="false">
      <c r="A688" s="0" t="s">
        <v>795</v>
      </c>
      <c r="B688" s="0" t="n">
        <v>1</v>
      </c>
      <c r="C688" s="0" t="s">
        <v>31</v>
      </c>
      <c r="D688" s="0" t="s">
        <v>31</v>
      </c>
      <c r="E688" s="0" t="n">
        <v>416</v>
      </c>
      <c r="F688" s="0" t="n">
        <v>877</v>
      </c>
      <c r="G688" s="0" t="n">
        <v>15</v>
      </c>
      <c r="H688" s="0" t="n">
        <v>12</v>
      </c>
      <c r="I688" s="0" t="n">
        <v>12</v>
      </c>
      <c r="J688" s="0" t="n">
        <v>8</v>
      </c>
      <c r="K688" s="0" t="n">
        <v>0.7</v>
      </c>
      <c r="L688" s="1" t="n">
        <v>248688.98</v>
      </c>
      <c r="M688" s="0" t="n">
        <v>247886.08</v>
      </c>
      <c r="N688" s="0" t="n">
        <v>802.9</v>
      </c>
      <c r="O688" s="0" t="n">
        <v>64634.73</v>
      </c>
      <c r="P688" s="1" t="n">
        <v>602.36</v>
      </c>
      <c r="Q688" s="0" t="n">
        <v>0</v>
      </c>
      <c r="R688" s="0" t="n">
        <v>6</v>
      </c>
      <c r="S688" s="0" t="s">
        <v>32</v>
      </c>
      <c r="T688" s="0" t="str">
        <f aca="false">IF(L688="inf","False","True")</f>
        <v>True</v>
      </c>
      <c r="U688" s="0" t="str">
        <f aca="false">IF(V688="inf","False","True")</f>
        <v>False</v>
      </c>
      <c r="V688" s="4" t="s">
        <v>37</v>
      </c>
      <c r="W688" s="4" t="s">
        <v>37</v>
      </c>
      <c r="X688" s="0" t="n">
        <v>103.35</v>
      </c>
      <c r="Y688" s="5" t="e">
        <f aca="false">V688-L688</f>
        <v>#VALUE!</v>
      </c>
      <c r="Z688" s="6" t="e">
        <f aca="false">Y688/L688</f>
        <v>#VALUE!</v>
      </c>
      <c r="AA688" s="3" t="n">
        <f aca="false">X688-P688</f>
        <v>-499.01</v>
      </c>
      <c r="AB688" s="6" t="n">
        <f aca="false">AA688/P688</f>
        <v>-0.828424862208646</v>
      </c>
    </row>
    <row r="689" customFormat="false" ht="12.75" hidden="false" customHeight="false" outlineLevel="0" collapsed="false">
      <c r="A689" s="0" t="s">
        <v>796</v>
      </c>
      <c r="B689" s="0" t="n">
        <v>2</v>
      </c>
      <c r="C689" s="0" t="s">
        <v>31</v>
      </c>
      <c r="D689" s="0" t="s">
        <v>31</v>
      </c>
      <c r="E689" s="0" t="n">
        <v>416</v>
      </c>
      <c r="F689" s="0" t="n">
        <v>820</v>
      </c>
      <c r="G689" s="0" t="n">
        <v>15</v>
      </c>
      <c r="H689" s="0" t="n">
        <v>12</v>
      </c>
      <c r="I689" s="0" t="n">
        <v>12</v>
      </c>
      <c r="J689" s="0" t="n">
        <v>8</v>
      </c>
      <c r="K689" s="0" t="n">
        <v>0.7</v>
      </c>
      <c r="L689" s="1" t="n">
        <v>820</v>
      </c>
      <c r="M689" s="0" t="n">
        <v>0</v>
      </c>
      <c r="N689" s="0" t="n">
        <v>820</v>
      </c>
      <c r="O689" s="0" t="n">
        <v>65224</v>
      </c>
      <c r="P689" s="1" t="n">
        <v>45.88</v>
      </c>
      <c r="Q689" s="0" t="n">
        <v>0</v>
      </c>
      <c r="R689" s="0" t="n">
        <v>1</v>
      </c>
      <c r="S689" s="0" t="s">
        <v>42</v>
      </c>
      <c r="T689" s="0" t="str">
        <f aca="false">IF(L689="inf","False","True")</f>
        <v>True</v>
      </c>
      <c r="U689" s="0" t="str">
        <f aca="false">IF(V689="inf","False","True")</f>
        <v>True</v>
      </c>
      <c r="V689" s="4" t="n">
        <v>75686.97</v>
      </c>
      <c r="W689" s="4" t="n">
        <v>64573.71</v>
      </c>
      <c r="X689" s="0" t="n">
        <v>416.99</v>
      </c>
      <c r="Y689" s="5" t="n">
        <f aca="false">V689-L689</f>
        <v>74866.97</v>
      </c>
      <c r="Z689" s="6" t="n">
        <f aca="false">Y689/L689</f>
        <v>91.3011829268293</v>
      </c>
      <c r="AA689" s="3" t="n">
        <f aca="false">X689-P689</f>
        <v>371.11</v>
      </c>
      <c r="AB689" s="6" t="n">
        <f aca="false">AA689/P689</f>
        <v>8.08870967741935</v>
      </c>
    </row>
    <row r="690" customFormat="false" ht="12.75" hidden="false" customHeight="false" outlineLevel="0" collapsed="false">
      <c r="A690" s="0" t="s">
        <v>797</v>
      </c>
      <c r="B690" s="0" t="n">
        <v>3</v>
      </c>
      <c r="C690" s="0" t="s">
        <v>31</v>
      </c>
      <c r="D690" s="0" t="s">
        <v>31</v>
      </c>
      <c r="E690" s="0" t="n">
        <v>416</v>
      </c>
      <c r="F690" s="0" t="n">
        <v>806</v>
      </c>
      <c r="G690" s="0" t="n">
        <v>15</v>
      </c>
      <c r="H690" s="0" t="n">
        <v>12</v>
      </c>
      <c r="I690" s="0" t="n">
        <v>12</v>
      </c>
      <c r="J690" s="0" t="n">
        <v>8</v>
      </c>
      <c r="K690" s="0" t="n">
        <v>0.7</v>
      </c>
      <c r="L690" s="1" t="n">
        <v>248098</v>
      </c>
      <c r="M690" s="0" t="n">
        <v>247361.81</v>
      </c>
      <c r="N690" s="0" t="n">
        <v>736.19</v>
      </c>
      <c r="O690" s="0" t="n">
        <v>63827.27</v>
      </c>
      <c r="P690" s="1" t="n">
        <v>654.83</v>
      </c>
      <c r="Q690" s="0" t="n">
        <v>0</v>
      </c>
      <c r="R690" s="0" t="n">
        <v>3</v>
      </c>
      <c r="S690" s="0" t="s">
        <v>32</v>
      </c>
      <c r="T690" s="0" t="str">
        <f aca="false">IF(L690="inf","False","True")</f>
        <v>True</v>
      </c>
      <c r="U690" s="0" t="str">
        <f aca="false">IF(V690="inf","False","True")</f>
        <v>True</v>
      </c>
      <c r="V690" s="4" t="n">
        <v>213500.01</v>
      </c>
      <c r="W690" s="4" t="n">
        <v>64151.39</v>
      </c>
      <c r="X690" s="0" t="n">
        <v>168.38</v>
      </c>
      <c r="Y690" s="5" t="n">
        <f aca="false">V690-L690</f>
        <v>-34597.99</v>
      </c>
      <c r="Z690" s="6" t="n">
        <f aca="false">Y690/L690</f>
        <v>-0.139452917798612</v>
      </c>
      <c r="AA690" s="3" t="n">
        <f aca="false">X690-P690</f>
        <v>-486.45</v>
      </c>
      <c r="AB690" s="6" t="n">
        <f aca="false">AA690/P690</f>
        <v>-0.74286456026755</v>
      </c>
    </row>
    <row r="691" customFormat="false" ht="12.75" hidden="false" customHeight="false" outlineLevel="0" collapsed="false">
      <c r="A691" s="0" t="s">
        <v>798</v>
      </c>
      <c r="B691" s="0" t="n">
        <v>4</v>
      </c>
      <c r="C691" s="0" t="s">
        <v>31</v>
      </c>
      <c r="D691" s="0" t="s">
        <v>31</v>
      </c>
      <c r="E691" s="0" t="n">
        <v>416</v>
      </c>
      <c r="F691" s="0" t="n">
        <v>841</v>
      </c>
      <c r="G691" s="0" t="n">
        <v>15</v>
      </c>
      <c r="H691" s="0" t="n">
        <v>12</v>
      </c>
      <c r="I691" s="0" t="n">
        <v>12</v>
      </c>
      <c r="J691" s="0" t="n">
        <v>8</v>
      </c>
      <c r="K691" s="0" t="n">
        <v>0.7</v>
      </c>
      <c r="L691" s="1" t="n">
        <v>840.33</v>
      </c>
      <c r="M691" s="0" t="n">
        <v>0</v>
      </c>
      <c r="N691" s="0" t="n">
        <v>840.33</v>
      </c>
      <c r="O691" s="0" t="n">
        <v>71531</v>
      </c>
      <c r="P691" s="1" t="n">
        <v>33.34</v>
      </c>
      <c r="Q691" s="0" t="n">
        <v>0</v>
      </c>
      <c r="R691" s="0" t="n">
        <v>5</v>
      </c>
      <c r="S691" s="0" t="s">
        <v>799</v>
      </c>
      <c r="T691" s="0" t="str">
        <f aca="false">IF(L691="inf","False","True")</f>
        <v>True</v>
      </c>
      <c r="U691" s="0" t="str">
        <f aca="false">IF(V691="inf","False","True")</f>
        <v>True</v>
      </c>
      <c r="V691" s="4" t="n">
        <v>211709.38</v>
      </c>
      <c r="W691" s="4" t="n">
        <v>65273.95</v>
      </c>
      <c r="X691" s="0" t="n">
        <v>271.94</v>
      </c>
      <c r="Y691" s="5" t="n">
        <f aca="false">V691-L691</f>
        <v>210869.05</v>
      </c>
      <c r="Z691" s="6" t="n">
        <f aca="false">Y691/L691</f>
        <v>250.93600133281</v>
      </c>
      <c r="AA691" s="3" t="n">
        <f aca="false">X691-P691</f>
        <v>238.6</v>
      </c>
      <c r="AB691" s="6" t="n">
        <f aca="false">AA691/P691</f>
        <v>7.15656868626275</v>
      </c>
    </row>
    <row r="692" customFormat="false" ht="12.75" hidden="false" customHeight="false" outlineLevel="0" collapsed="false">
      <c r="A692" s="0" t="s">
        <v>800</v>
      </c>
      <c r="B692" s="0" t="n">
        <v>0</v>
      </c>
      <c r="C692" s="0" t="s">
        <v>31</v>
      </c>
      <c r="D692" s="0" t="s">
        <v>31</v>
      </c>
      <c r="E692" s="0" t="n">
        <v>583</v>
      </c>
      <c r="F692" s="0" t="n">
        <v>1144</v>
      </c>
      <c r="G692" s="0" t="n">
        <v>15</v>
      </c>
      <c r="H692" s="0" t="n">
        <v>12</v>
      </c>
      <c r="I692" s="0" t="n">
        <v>12</v>
      </c>
      <c r="J692" s="0" t="n">
        <v>8</v>
      </c>
      <c r="K692" s="0" t="n">
        <v>0.7</v>
      </c>
      <c r="L692" s="1" t="n">
        <v>228744.14</v>
      </c>
      <c r="M692" s="0" t="n">
        <v>227666.67</v>
      </c>
      <c r="N692" s="0" t="n">
        <v>1077.47</v>
      </c>
      <c r="O692" s="0" t="n">
        <v>93329.76</v>
      </c>
      <c r="P692" s="1" t="n">
        <v>668.51</v>
      </c>
      <c r="Q692" s="0" t="n">
        <v>0.22</v>
      </c>
      <c r="R692" s="0" t="n">
        <v>1</v>
      </c>
      <c r="S692" s="0" t="s">
        <v>42</v>
      </c>
      <c r="T692" s="0" t="str">
        <f aca="false">IF(L692="inf","False","True")</f>
        <v>True</v>
      </c>
      <c r="U692" s="0" t="str">
        <f aca="false">IF(V692="inf","False","True")</f>
        <v>True</v>
      </c>
      <c r="V692" s="4" t="n">
        <v>215743.67</v>
      </c>
      <c r="W692" s="4" t="n">
        <v>105650.73</v>
      </c>
      <c r="X692" s="0" t="n">
        <v>465.84</v>
      </c>
      <c r="Y692" s="5" t="n">
        <f aca="false">V692-L692</f>
        <v>-13000.47</v>
      </c>
      <c r="Z692" s="6" t="n">
        <f aca="false">Y692/L692</f>
        <v>-0.0568341116847846</v>
      </c>
      <c r="AA692" s="3" t="n">
        <f aca="false">X692-P692</f>
        <v>-202.67</v>
      </c>
      <c r="AB692" s="6" t="n">
        <f aca="false">AA692/P692</f>
        <v>-0.30316674395297</v>
      </c>
    </row>
    <row r="693" customFormat="false" ht="12.75" hidden="false" customHeight="false" outlineLevel="0" collapsed="false">
      <c r="A693" s="0" t="s">
        <v>801</v>
      </c>
      <c r="B693" s="0" t="n">
        <v>1</v>
      </c>
      <c r="C693" s="0" t="s">
        <v>31</v>
      </c>
      <c r="D693" s="0" t="s">
        <v>31</v>
      </c>
      <c r="E693" s="0" t="n">
        <v>583</v>
      </c>
      <c r="F693" s="0" t="n">
        <v>1234</v>
      </c>
      <c r="G693" s="0" t="n">
        <v>15</v>
      </c>
      <c r="H693" s="0" t="n">
        <v>12</v>
      </c>
      <c r="I693" s="0" t="n">
        <v>12</v>
      </c>
      <c r="J693" s="0" t="n">
        <v>8</v>
      </c>
      <c r="K693" s="0" t="n">
        <v>0.7</v>
      </c>
      <c r="L693" s="1" t="n">
        <v>1234</v>
      </c>
      <c r="M693" s="0" t="n">
        <v>0</v>
      </c>
      <c r="N693" s="0" t="n">
        <v>1234</v>
      </c>
      <c r="O693" s="0" t="n">
        <v>113140</v>
      </c>
      <c r="P693" s="1" t="n">
        <v>22.78</v>
      </c>
      <c r="Q693" s="0" t="n">
        <v>0</v>
      </c>
      <c r="R693" s="0" t="n">
        <v>1</v>
      </c>
      <c r="S693" s="0" t="s">
        <v>42</v>
      </c>
      <c r="T693" s="0" t="str">
        <f aca="false">IF(L693="inf","False","True")</f>
        <v>True</v>
      </c>
      <c r="U693" s="0" t="str">
        <f aca="false">IF(V693="inf","False","True")</f>
        <v>False</v>
      </c>
      <c r="V693" s="4" t="s">
        <v>37</v>
      </c>
      <c r="W693" s="4" t="s">
        <v>37</v>
      </c>
      <c r="X693" s="0" t="n">
        <v>94.51</v>
      </c>
      <c r="Y693" s="5" t="e">
        <f aca="false">V693-L693</f>
        <v>#VALUE!</v>
      </c>
      <c r="Z693" s="6" t="e">
        <f aca="false">Y693/L693</f>
        <v>#VALUE!</v>
      </c>
      <c r="AA693" s="3" t="n">
        <f aca="false">X693-P693</f>
        <v>71.73</v>
      </c>
      <c r="AB693" s="6" t="n">
        <f aca="false">AA693/P693</f>
        <v>3.14881474978051</v>
      </c>
    </row>
    <row r="694" customFormat="false" ht="12.75" hidden="false" customHeight="false" outlineLevel="0" collapsed="false">
      <c r="A694" s="0" t="s">
        <v>802</v>
      </c>
      <c r="B694" s="0" t="n">
        <v>2</v>
      </c>
      <c r="C694" s="0" t="s">
        <v>31</v>
      </c>
      <c r="D694" s="0" t="s">
        <v>31</v>
      </c>
      <c r="E694" s="0" t="n">
        <v>583</v>
      </c>
      <c r="F694" s="0" t="n">
        <v>1156</v>
      </c>
      <c r="G694" s="0" t="n">
        <v>15</v>
      </c>
      <c r="H694" s="0" t="n">
        <v>12</v>
      </c>
      <c r="I694" s="0" t="n">
        <v>12</v>
      </c>
      <c r="J694" s="0" t="n">
        <v>8</v>
      </c>
      <c r="K694" s="0" t="n">
        <v>0.7</v>
      </c>
      <c r="L694" s="1" t="n">
        <v>1156</v>
      </c>
      <c r="M694" s="0" t="n">
        <v>0</v>
      </c>
      <c r="N694" s="0" t="n">
        <v>1156</v>
      </c>
      <c r="O694" s="0" t="n">
        <v>91300</v>
      </c>
      <c r="P694" s="1" t="n">
        <v>30.53</v>
      </c>
      <c r="Q694" s="0" t="n">
        <v>0</v>
      </c>
      <c r="R694" s="0" t="n">
        <v>1</v>
      </c>
      <c r="S694" s="0" t="s">
        <v>42</v>
      </c>
      <c r="T694" s="0" t="str">
        <f aca="false">IF(L694="inf","False","True")</f>
        <v>True</v>
      </c>
      <c r="U694" s="0" t="str">
        <f aca="false">IF(V694="inf","False","True")</f>
        <v>True</v>
      </c>
      <c r="V694" s="4" t="n">
        <v>262917.88</v>
      </c>
      <c r="W694" s="4" t="n">
        <v>87751.13</v>
      </c>
      <c r="X694" s="0" t="n">
        <v>10.76</v>
      </c>
      <c r="Y694" s="5" t="n">
        <f aca="false">V694-L694</f>
        <v>261761.88</v>
      </c>
      <c r="Z694" s="6" t="n">
        <f aca="false">Y694/L694</f>
        <v>226.437612456747</v>
      </c>
      <c r="AA694" s="3" t="n">
        <f aca="false">X694-P694</f>
        <v>-19.77</v>
      </c>
      <c r="AB694" s="6" t="n">
        <f aca="false">AA694/P694</f>
        <v>-0.647559777268261</v>
      </c>
    </row>
    <row r="695" customFormat="false" ht="12.75" hidden="false" customHeight="false" outlineLevel="0" collapsed="false">
      <c r="A695" s="0" t="s">
        <v>803</v>
      </c>
      <c r="B695" s="0" t="n">
        <v>3</v>
      </c>
      <c r="C695" s="0" t="s">
        <v>31</v>
      </c>
      <c r="D695" s="0" t="s">
        <v>31</v>
      </c>
      <c r="E695" s="0" t="n">
        <v>583</v>
      </c>
      <c r="F695" s="0" t="n">
        <v>1138</v>
      </c>
      <c r="G695" s="0" t="n">
        <v>15</v>
      </c>
      <c r="H695" s="0" t="n">
        <v>12</v>
      </c>
      <c r="I695" s="0" t="n">
        <v>12</v>
      </c>
      <c r="J695" s="0" t="n">
        <v>8</v>
      </c>
      <c r="K695" s="0" t="n">
        <v>0.7</v>
      </c>
      <c r="L695" s="1" t="n">
        <v>401055.98</v>
      </c>
      <c r="M695" s="0" t="n">
        <v>400027.69</v>
      </c>
      <c r="N695" s="0" t="n">
        <v>1028.3</v>
      </c>
      <c r="O695" s="0" t="n">
        <v>88559.82</v>
      </c>
      <c r="P695" s="1" t="n">
        <v>617.82</v>
      </c>
      <c r="Q695" s="0" t="n">
        <v>0</v>
      </c>
      <c r="R695" s="0" t="n">
        <v>6</v>
      </c>
      <c r="S695" s="0" t="s">
        <v>32</v>
      </c>
      <c r="T695" s="0" t="str">
        <f aca="false">IF(L695="inf","False","True")</f>
        <v>True</v>
      </c>
      <c r="U695" s="0" t="str">
        <f aca="false">IF(V695="inf","False","True")</f>
        <v>True</v>
      </c>
      <c r="V695" s="4" t="n">
        <v>312150.71</v>
      </c>
      <c r="W695" s="4" t="n">
        <v>89545.81</v>
      </c>
      <c r="X695" s="0" t="n">
        <v>40.8</v>
      </c>
      <c r="Y695" s="5" t="n">
        <f aca="false">V695-L695</f>
        <v>-88905.27</v>
      </c>
      <c r="Z695" s="6" t="n">
        <f aca="false">Y695/L695</f>
        <v>-0.22167795627932</v>
      </c>
      <c r="AA695" s="3" t="n">
        <f aca="false">X695-P695</f>
        <v>-577.02</v>
      </c>
      <c r="AB695" s="6" t="n">
        <f aca="false">AA695/P695</f>
        <v>-0.933961347965427</v>
      </c>
    </row>
    <row r="696" customFormat="false" ht="12.75" hidden="false" customHeight="false" outlineLevel="0" collapsed="false">
      <c r="A696" s="0" t="s">
        <v>804</v>
      </c>
      <c r="B696" s="0" t="n">
        <v>4</v>
      </c>
      <c r="C696" s="0" t="s">
        <v>31</v>
      </c>
      <c r="D696" s="0" t="s">
        <v>31</v>
      </c>
      <c r="E696" s="0" t="n">
        <v>583</v>
      </c>
      <c r="F696" s="0" t="n">
        <v>1185</v>
      </c>
      <c r="G696" s="0" t="n">
        <v>15</v>
      </c>
      <c r="H696" s="0" t="n">
        <v>12</v>
      </c>
      <c r="I696" s="0" t="n">
        <v>12</v>
      </c>
      <c r="J696" s="0" t="n">
        <v>8</v>
      </c>
      <c r="K696" s="0" t="n">
        <v>0.7</v>
      </c>
      <c r="L696" s="1" t="n">
        <v>1185</v>
      </c>
      <c r="M696" s="0" t="n">
        <v>0</v>
      </c>
      <c r="N696" s="0" t="n">
        <v>1185</v>
      </c>
      <c r="O696" s="0" t="n">
        <v>100064</v>
      </c>
      <c r="P696" s="1" t="n">
        <v>33.1</v>
      </c>
      <c r="Q696" s="0" t="n">
        <v>0</v>
      </c>
      <c r="R696" s="0" t="n">
        <v>1</v>
      </c>
      <c r="S696" s="0" t="s">
        <v>42</v>
      </c>
      <c r="T696" s="0" t="str">
        <f aca="false">IF(L696="inf","False","True")</f>
        <v>True</v>
      </c>
      <c r="U696" s="0" t="str">
        <f aca="false">IF(V696="inf","False","True")</f>
        <v>True</v>
      </c>
      <c r="V696" s="4" t="n">
        <v>329319.54</v>
      </c>
      <c r="W696" s="4" t="n">
        <v>90723.49</v>
      </c>
      <c r="X696" s="0" t="n">
        <v>60.2</v>
      </c>
      <c r="Y696" s="5" t="n">
        <f aca="false">V696-L696</f>
        <v>328134.54</v>
      </c>
      <c r="Z696" s="6" t="n">
        <f aca="false">Y696/L696</f>
        <v>276.906784810127</v>
      </c>
      <c r="AA696" s="3" t="n">
        <f aca="false">X696-P696</f>
        <v>27.1</v>
      </c>
      <c r="AB696" s="6" t="n">
        <f aca="false">AA696/P696</f>
        <v>0.818731117824773</v>
      </c>
    </row>
    <row r="697" customFormat="false" ht="12.75" hidden="false" customHeight="false" outlineLevel="0" collapsed="false">
      <c r="A697" s="0" t="s">
        <v>805</v>
      </c>
      <c r="B697" s="0" t="n">
        <v>0</v>
      </c>
      <c r="C697" s="0" t="s">
        <v>31</v>
      </c>
      <c r="D697" s="0" t="s">
        <v>31</v>
      </c>
      <c r="E697" s="0" t="n">
        <v>833</v>
      </c>
      <c r="F697" s="0" t="n">
        <v>1636</v>
      </c>
      <c r="G697" s="0" t="n">
        <v>15</v>
      </c>
      <c r="H697" s="0" t="n">
        <v>12</v>
      </c>
      <c r="I697" s="0" t="n">
        <v>12</v>
      </c>
      <c r="J697" s="0" t="n">
        <v>8</v>
      </c>
      <c r="K697" s="0" t="n">
        <v>0.7</v>
      </c>
      <c r="L697" s="1" t="n">
        <v>246344.09</v>
      </c>
      <c r="M697" s="0" t="n">
        <v>244806.24</v>
      </c>
      <c r="N697" s="0" t="n">
        <v>1537.85</v>
      </c>
      <c r="O697" s="0" t="n">
        <v>134576.13</v>
      </c>
      <c r="P697" s="1" t="n">
        <v>673.43</v>
      </c>
      <c r="Q697" s="0" t="n">
        <v>0.3</v>
      </c>
      <c r="R697" s="0" t="n">
        <v>6</v>
      </c>
      <c r="S697" s="0" t="s">
        <v>806</v>
      </c>
      <c r="T697" s="0" t="str">
        <f aca="false">IF(L697="inf","False","True")</f>
        <v>True</v>
      </c>
      <c r="U697" s="0" t="str">
        <f aca="false">IF(V697="inf","False","True")</f>
        <v>False</v>
      </c>
      <c r="V697" s="4" t="s">
        <v>37</v>
      </c>
      <c r="W697" s="4" t="s">
        <v>37</v>
      </c>
      <c r="X697" s="0" t="n">
        <v>671.21</v>
      </c>
      <c r="Y697" s="5" t="e">
        <f aca="false">V697-L697</f>
        <v>#VALUE!</v>
      </c>
      <c r="Z697" s="6" t="e">
        <f aca="false">Y697/L697</f>
        <v>#VALUE!</v>
      </c>
      <c r="AA697" s="3" t="n">
        <f aca="false">X697-P697</f>
        <v>-2.21999999999991</v>
      </c>
      <c r="AB697" s="6" t="n">
        <f aca="false">AA697/P697</f>
        <v>-0.00329655643496713</v>
      </c>
    </row>
    <row r="698" customFormat="false" ht="12.75" hidden="false" customHeight="false" outlineLevel="0" collapsed="false">
      <c r="A698" s="0" t="s">
        <v>807</v>
      </c>
      <c r="B698" s="0" t="n">
        <v>1</v>
      </c>
      <c r="C698" s="0" t="s">
        <v>31</v>
      </c>
      <c r="D698" s="0" t="s">
        <v>31</v>
      </c>
      <c r="E698" s="0" t="n">
        <v>833</v>
      </c>
      <c r="F698" s="0" t="n">
        <v>1765</v>
      </c>
      <c r="G698" s="0" t="n">
        <v>15</v>
      </c>
      <c r="H698" s="0" t="n">
        <v>12</v>
      </c>
      <c r="I698" s="0" t="n">
        <v>12</v>
      </c>
      <c r="J698" s="0" t="n">
        <v>8</v>
      </c>
      <c r="K698" s="0" t="n">
        <v>0.7</v>
      </c>
      <c r="L698" s="1" t="n">
        <v>1765</v>
      </c>
      <c r="M698" s="0" t="n">
        <v>0</v>
      </c>
      <c r="N698" s="0" t="n">
        <v>1765</v>
      </c>
      <c r="O698" s="0" t="n">
        <v>161594</v>
      </c>
      <c r="P698" s="1" t="n">
        <v>21.03</v>
      </c>
      <c r="Q698" s="0" t="n">
        <v>0</v>
      </c>
      <c r="R698" s="0" t="n">
        <v>1</v>
      </c>
      <c r="S698" s="0" t="s">
        <v>42</v>
      </c>
      <c r="T698" s="0" t="str">
        <f aca="false">IF(L698="inf","False","True")</f>
        <v>True</v>
      </c>
      <c r="U698" s="0" t="str">
        <f aca="false">IF(V698="inf","False","True")</f>
        <v>False</v>
      </c>
      <c r="V698" s="4" t="s">
        <v>37</v>
      </c>
      <c r="W698" s="4" t="s">
        <v>37</v>
      </c>
      <c r="X698" s="0" t="n">
        <v>114.21</v>
      </c>
      <c r="Y698" s="5" t="e">
        <f aca="false">V698-L698</f>
        <v>#VALUE!</v>
      </c>
      <c r="Z698" s="6" t="e">
        <f aca="false">Y698/L698</f>
        <v>#VALUE!</v>
      </c>
      <c r="AA698" s="3" t="n">
        <f aca="false">X698-P698</f>
        <v>93.18</v>
      </c>
      <c r="AB698" s="6" t="n">
        <f aca="false">AA698/P698</f>
        <v>4.43081312410842</v>
      </c>
    </row>
    <row r="699" customFormat="false" ht="12.75" hidden="false" customHeight="false" outlineLevel="0" collapsed="false">
      <c r="A699" s="0" t="s">
        <v>808</v>
      </c>
      <c r="B699" s="0" t="n">
        <v>2</v>
      </c>
      <c r="C699" s="0" t="s">
        <v>31</v>
      </c>
      <c r="D699" s="0" t="s">
        <v>31</v>
      </c>
      <c r="E699" s="0" t="n">
        <v>833</v>
      </c>
      <c r="F699" s="0" t="n">
        <v>1654</v>
      </c>
      <c r="G699" s="0" t="n">
        <v>15</v>
      </c>
      <c r="H699" s="0" t="n">
        <v>12</v>
      </c>
      <c r="I699" s="0" t="n">
        <v>12</v>
      </c>
      <c r="J699" s="0" t="n">
        <v>8</v>
      </c>
      <c r="K699" s="0" t="n">
        <v>0.7</v>
      </c>
      <c r="L699" s="1" t="n">
        <v>1654</v>
      </c>
      <c r="M699" s="0" t="n">
        <v>0</v>
      </c>
      <c r="N699" s="0" t="n">
        <v>1654</v>
      </c>
      <c r="O699" s="0" t="n">
        <v>130385</v>
      </c>
      <c r="P699" s="1" t="n">
        <v>57.64</v>
      </c>
      <c r="Q699" s="0" t="n">
        <v>0</v>
      </c>
      <c r="R699" s="0" t="n">
        <v>1</v>
      </c>
      <c r="S699" s="0" t="s">
        <v>42</v>
      </c>
      <c r="T699" s="0" t="str">
        <f aca="false">IF(L699="inf","False","True")</f>
        <v>True</v>
      </c>
      <c r="U699" s="0" t="str">
        <f aca="false">IF(V699="inf","False","True")</f>
        <v>True</v>
      </c>
      <c r="V699" s="4" t="n">
        <v>36721.61</v>
      </c>
      <c r="W699" s="4" t="n">
        <v>129874</v>
      </c>
      <c r="X699" s="0" t="n">
        <v>228.61</v>
      </c>
      <c r="Y699" s="5" t="n">
        <f aca="false">V699-L699</f>
        <v>35067.61</v>
      </c>
      <c r="Z699" s="6" t="n">
        <f aca="false">Y699/L699</f>
        <v>21.2016989117291</v>
      </c>
      <c r="AA699" s="3" t="n">
        <f aca="false">X699-P699</f>
        <v>170.97</v>
      </c>
      <c r="AB699" s="6" t="n">
        <f aca="false">AA699/P699</f>
        <v>2.96616932685635</v>
      </c>
    </row>
    <row r="700" customFormat="false" ht="12.75" hidden="false" customHeight="false" outlineLevel="0" collapsed="false">
      <c r="A700" s="0" t="s">
        <v>809</v>
      </c>
      <c r="B700" s="0" t="n">
        <v>3</v>
      </c>
      <c r="C700" s="0" t="s">
        <v>31</v>
      </c>
      <c r="D700" s="0" t="s">
        <v>31</v>
      </c>
      <c r="E700" s="0" t="n">
        <v>833</v>
      </c>
      <c r="F700" s="0" t="n">
        <v>1628</v>
      </c>
      <c r="G700" s="0" t="n">
        <v>15</v>
      </c>
      <c r="H700" s="0" t="n">
        <v>12</v>
      </c>
      <c r="I700" s="0" t="n">
        <v>12</v>
      </c>
      <c r="J700" s="0" t="n">
        <v>8</v>
      </c>
      <c r="K700" s="0" t="n">
        <v>0.7</v>
      </c>
      <c r="L700" s="1" t="n">
        <v>574698.76</v>
      </c>
      <c r="M700" s="0" t="n">
        <v>573233.89</v>
      </c>
      <c r="N700" s="0" t="n">
        <v>1464.87</v>
      </c>
      <c r="O700" s="0" t="n">
        <v>126607.98</v>
      </c>
      <c r="P700" s="1" t="n">
        <v>682.43</v>
      </c>
      <c r="Q700" s="0" t="n">
        <v>0</v>
      </c>
      <c r="R700" s="0" t="n">
        <v>7</v>
      </c>
      <c r="S700" s="0" t="s">
        <v>32</v>
      </c>
      <c r="T700" s="0" t="str">
        <f aca="false">IF(L700="inf","False","True")</f>
        <v>True</v>
      </c>
      <c r="U700" s="0" t="str">
        <f aca="false">IF(V700="inf","False","True")</f>
        <v>False</v>
      </c>
      <c r="V700" s="4" t="s">
        <v>37</v>
      </c>
      <c r="W700" s="4" t="s">
        <v>37</v>
      </c>
      <c r="X700" s="0" t="n">
        <v>89.44</v>
      </c>
      <c r="Y700" s="5" t="e">
        <f aca="false">V700-L700</f>
        <v>#VALUE!</v>
      </c>
      <c r="Z700" s="6" t="e">
        <f aca="false">Y700/L700</f>
        <v>#VALUE!</v>
      </c>
      <c r="AA700" s="3" t="n">
        <f aca="false">X700-P700</f>
        <v>-592.99</v>
      </c>
      <c r="AB700" s="6" t="n">
        <f aca="false">AA700/P700</f>
        <v>-0.868938938792257</v>
      </c>
    </row>
    <row r="701" customFormat="false" ht="12.75" hidden="false" customHeight="false" outlineLevel="0" collapsed="false">
      <c r="A701" s="0" t="s">
        <v>810</v>
      </c>
      <c r="B701" s="0" t="n">
        <v>4</v>
      </c>
      <c r="C701" s="0" t="s">
        <v>31</v>
      </c>
      <c r="D701" s="0" t="s">
        <v>31</v>
      </c>
      <c r="E701" s="0" t="n">
        <v>833</v>
      </c>
      <c r="F701" s="0" t="n">
        <v>1697</v>
      </c>
      <c r="G701" s="0" t="n">
        <v>15</v>
      </c>
      <c r="H701" s="0" t="n">
        <v>12</v>
      </c>
      <c r="I701" s="0" t="n">
        <v>12</v>
      </c>
      <c r="J701" s="0" t="n">
        <v>8</v>
      </c>
      <c r="K701" s="0" t="n">
        <v>0.7</v>
      </c>
      <c r="L701" s="1" t="n">
        <v>1697</v>
      </c>
      <c r="M701" s="0" t="n">
        <v>0</v>
      </c>
      <c r="N701" s="0" t="n">
        <v>1697</v>
      </c>
      <c r="O701" s="0" t="n">
        <v>142910</v>
      </c>
      <c r="P701" s="1" t="n">
        <v>38.3</v>
      </c>
      <c r="Q701" s="0" t="n">
        <v>0</v>
      </c>
      <c r="R701" s="0" t="n">
        <v>5</v>
      </c>
      <c r="S701" s="0" t="s">
        <v>42</v>
      </c>
      <c r="T701" s="0" t="str">
        <f aca="false">IF(L701="inf","False","True")</f>
        <v>True</v>
      </c>
      <c r="U701" s="0" t="str">
        <f aca="false">IF(V701="inf","False","True")</f>
        <v>True</v>
      </c>
      <c r="V701" s="4" t="n">
        <v>468752.13</v>
      </c>
      <c r="W701" s="4" t="n">
        <v>129035.09</v>
      </c>
      <c r="X701" s="0" t="n">
        <v>103.78</v>
      </c>
      <c r="Y701" s="5" t="n">
        <f aca="false">V701-L701</f>
        <v>467055.13</v>
      </c>
      <c r="Z701" s="6" t="n">
        <f aca="false">Y701/L701</f>
        <v>275.22400117855</v>
      </c>
      <c r="AA701" s="3" t="n">
        <f aca="false">X701-P701</f>
        <v>65.48</v>
      </c>
      <c r="AB701" s="6" t="n">
        <f aca="false">AA701/P701</f>
        <v>1.70966057441253</v>
      </c>
    </row>
    <row r="702" customFormat="false" ht="12.75" hidden="false" customHeight="false" outlineLevel="0" collapsed="false">
      <c r="A702" s="0" t="s">
        <v>811</v>
      </c>
      <c r="B702" s="0" t="n">
        <v>0</v>
      </c>
      <c r="C702" s="0" t="s">
        <v>31</v>
      </c>
      <c r="D702" s="0" t="s">
        <v>31</v>
      </c>
      <c r="E702" s="0" t="n">
        <v>250</v>
      </c>
      <c r="F702" s="0" t="n">
        <v>508</v>
      </c>
      <c r="G702" s="0" t="n">
        <v>15</v>
      </c>
      <c r="H702" s="0" t="n">
        <v>12</v>
      </c>
      <c r="I702" s="0" t="n">
        <v>12</v>
      </c>
      <c r="J702" s="0" t="n">
        <v>12</v>
      </c>
      <c r="K702" s="0" t="n">
        <v>0.7</v>
      </c>
      <c r="L702" s="1" t="n">
        <v>116323.59</v>
      </c>
      <c r="M702" s="0" t="n">
        <v>115857.02</v>
      </c>
      <c r="N702" s="0" t="n">
        <v>466.57</v>
      </c>
      <c r="O702" s="0" t="n">
        <v>39164.89</v>
      </c>
      <c r="P702" s="1" t="n">
        <v>638.79</v>
      </c>
      <c r="Q702" s="0" t="n">
        <v>0.15</v>
      </c>
      <c r="R702" s="0" t="n">
        <v>2</v>
      </c>
      <c r="S702" s="0" t="s">
        <v>32</v>
      </c>
      <c r="T702" s="0" t="str">
        <f aca="false">IF(L702="inf","False","True")</f>
        <v>True</v>
      </c>
      <c r="U702" s="0" t="str">
        <f aca="false">IF(V702="inf","False","True")</f>
        <v>False</v>
      </c>
      <c r="V702" s="4" t="s">
        <v>37</v>
      </c>
      <c r="W702" s="4" t="s">
        <v>37</v>
      </c>
      <c r="X702" s="0" t="n">
        <v>290.5</v>
      </c>
      <c r="Y702" s="5" t="e">
        <f aca="false">V702-L702</f>
        <v>#VALUE!</v>
      </c>
      <c r="Z702" s="6" t="e">
        <f aca="false">Y702/L702</f>
        <v>#VALUE!</v>
      </c>
      <c r="AA702" s="3" t="n">
        <f aca="false">X702-P702</f>
        <v>-348.29</v>
      </c>
      <c r="AB702" s="6" t="n">
        <f aca="false">AA702/P702</f>
        <v>-0.545233957951753</v>
      </c>
    </row>
    <row r="703" customFormat="false" ht="12.75" hidden="false" customHeight="false" outlineLevel="0" collapsed="false">
      <c r="A703" s="0" t="s">
        <v>812</v>
      </c>
      <c r="B703" s="0" t="n">
        <v>1</v>
      </c>
      <c r="C703" s="0" t="s">
        <v>31</v>
      </c>
      <c r="D703" s="0" t="s">
        <v>31</v>
      </c>
      <c r="E703" s="0" t="n">
        <v>250</v>
      </c>
      <c r="F703" s="0" t="n">
        <v>528</v>
      </c>
      <c r="G703" s="0" t="n">
        <v>15</v>
      </c>
      <c r="H703" s="0" t="n">
        <v>12</v>
      </c>
      <c r="I703" s="0" t="n">
        <v>12</v>
      </c>
      <c r="J703" s="0" t="n">
        <v>12</v>
      </c>
      <c r="K703" s="0" t="n">
        <v>0.7</v>
      </c>
      <c r="L703" s="1" t="n">
        <v>528</v>
      </c>
      <c r="M703" s="0" t="n">
        <v>0</v>
      </c>
      <c r="N703" s="0" t="n">
        <v>528</v>
      </c>
      <c r="O703" s="0" t="n">
        <v>43337</v>
      </c>
      <c r="P703" s="1" t="n">
        <v>94.13</v>
      </c>
      <c r="Q703" s="0" t="n">
        <v>0</v>
      </c>
      <c r="R703" s="0" t="n">
        <v>1</v>
      </c>
      <c r="S703" s="0" t="s">
        <v>42</v>
      </c>
      <c r="T703" s="0" t="str">
        <f aca="false">IF(L703="inf","False","True")</f>
        <v>True</v>
      </c>
      <c r="U703" s="0" t="str">
        <f aca="false">IF(V703="inf","False","True")</f>
        <v>True</v>
      </c>
      <c r="V703" s="4" t="n">
        <v>39190.26</v>
      </c>
      <c r="W703" s="4" t="n">
        <v>46163.53</v>
      </c>
      <c r="X703" s="0" t="n">
        <v>13</v>
      </c>
      <c r="Y703" s="5" t="n">
        <f aca="false">V703-L703</f>
        <v>38662.26</v>
      </c>
      <c r="Z703" s="6" t="n">
        <f aca="false">Y703/L703</f>
        <v>73.2239772727273</v>
      </c>
      <c r="AA703" s="3" t="n">
        <f aca="false">X703-P703</f>
        <v>-81.13</v>
      </c>
      <c r="AB703" s="6" t="n">
        <f aca="false">AA703/P703</f>
        <v>-0.861893126527143</v>
      </c>
    </row>
    <row r="704" customFormat="false" ht="12.75" hidden="false" customHeight="false" outlineLevel="0" collapsed="false">
      <c r="A704" s="0" t="s">
        <v>813</v>
      </c>
      <c r="B704" s="0" t="n">
        <v>2</v>
      </c>
      <c r="C704" s="0" t="s">
        <v>31</v>
      </c>
      <c r="D704" s="0" t="s">
        <v>31</v>
      </c>
      <c r="E704" s="0" t="n">
        <v>250</v>
      </c>
      <c r="F704" s="0" t="n">
        <v>509</v>
      </c>
      <c r="G704" s="0" t="n">
        <v>15</v>
      </c>
      <c r="H704" s="0" t="n">
        <v>12</v>
      </c>
      <c r="I704" s="0" t="n">
        <v>12</v>
      </c>
      <c r="J704" s="0" t="n">
        <v>12</v>
      </c>
      <c r="K704" s="0" t="n">
        <v>0.7</v>
      </c>
      <c r="L704" s="1" t="n">
        <v>509</v>
      </c>
      <c r="M704" s="0" t="n">
        <v>0</v>
      </c>
      <c r="N704" s="0" t="n">
        <v>509</v>
      </c>
      <c r="O704" s="0" t="n">
        <v>45356</v>
      </c>
      <c r="P704" s="1" t="n">
        <v>64.51</v>
      </c>
      <c r="Q704" s="0" t="n">
        <v>0</v>
      </c>
      <c r="R704" s="0" t="n">
        <v>5</v>
      </c>
      <c r="S704" s="0" t="s">
        <v>42</v>
      </c>
      <c r="T704" s="0" t="str">
        <f aca="false">IF(L704="inf","False","True")</f>
        <v>True</v>
      </c>
      <c r="U704" s="0" t="str">
        <f aca="false">IF(V704="inf","False","True")</f>
        <v>True</v>
      </c>
      <c r="V704" s="4" t="n">
        <v>84582.09</v>
      </c>
      <c r="W704" s="4" t="n">
        <v>39011.65</v>
      </c>
      <c r="X704" s="0" t="n">
        <v>127.09</v>
      </c>
      <c r="Y704" s="5" t="n">
        <f aca="false">V704-L704</f>
        <v>84073.09</v>
      </c>
      <c r="Z704" s="6" t="n">
        <f aca="false">Y704/L704</f>
        <v>165.173064833006</v>
      </c>
      <c r="AA704" s="3" t="n">
        <f aca="false">X704-P704</f>
        <v>62.58</v>
      </c>
      <c r="AB704" s="6" t="n">
        <f aca="false">AA704/P704</f>
        <v>0.970082157804991</v>
      </c>
    </row>
    <row r="705" customFormat="false" ht="12.75" hidden="false" customHeight="false" outlineLevel="0" collapsed="false">
      <c r="A705" s="0" t="s">
        <v>814</v>
      </c>
      <c r="B705" s="0" t="n">
        <v>3</v>
      </c>
      <c r="C705" s="0" t="s">
        <v>31</v>
      </c>
      <c r="D705" s="0" t="s">
        <v>31</v>
      </c>
      <c r="E705" s="0" t="n">
        <v>250</v>
      </c>
      <c r="F705" s="0" t="n">
        <v>507</v>
      </c>
      <c r="G705" s="0" t="n">
        <v>15</v>
      </c>
      <c r="H705" s="0" t="n">
        <v>12</v>
      </c>
      <c r="I705" s="0" t="n">
        <v>12</v>
      </c>
      <c r="J705" s="0" t="n">
        <v>12</v>
      </c>
      <c r="K705" s="0" t="n">
        <v>0.7</v>
      </c>
      <c r="L705" s="1" t="s">
        <v>37</v>
      </c>
      <c r="M705" s="0" t="s">
        <v>37</v>
      </c>
      <c r="N705" s="0" t="s">
        <v>37</v>
      </c>
      <c r="O705" s="0" t="s">
        <v>37</v>
      </c>
      <c r="P705" s="1" t="n">
        <v>692.26</v>
      </c>
      <c r="Q705" s="0" t="s">
        <v>37</v>
      </c>
      <c r="R705" s="0" t="n">
        <v>0</v>
      </c>
      <c r="S705" s="0" t="s">
        <v>167</v>
      </c>
      <c r="T705" s="0" t="str">
        <f aca="false">IF(L705="inf","False","True")</f>
        <v>False</v>
      </c>
      <c r="U705" s="0" t="str">
        <f aca="false">IF(V705="inf","False","True")</f>
        <v>False</v>
      </c>
      <c r="V705" s="4" t="s">
        <v>37</v>
      </c>
      <c r="W705" s="4" t="s">
        <v>37</v>
      </c>
      <c r="X705" s="0" t="n">
        <v>643.35</v>
      </c>
      <c r="Y705" s="5" t="e">
        <f aca="false">V705-L705</f>
        <v>#VALUE!</v>
      </c>
      <c r="Z705" s="6" t="e">
        <f aca="false">Y705/L705</f>
        <v>#VALUE!</v>
      </c>
      <c r="AA705" s="3" t="n">
        <f aca="false">X705-P705</f>
        <v>-48.91</v>
      </c>
      <c r="AB705" s="6" t="n">
        <f aca="false">AA705/P705</f>
        <v>-0.0706526449599861</v>
      </c>
    </row>
    <row r="706" customFormat="false" ht="12.75" hidden="false" customHeight="false" outlineLevel="0" collapsed="false">
      <c r="A706" s="0" t="s">
        <v>815</v>
      </c>
      <c r="B706" s="0" t="n">
        <v>4</v>
      </c>
      <c r="C706" s="0" t="s">
        <v>31</v>
      </c>
      <c r="D706" s="0" t="s">
        <v>31</v>
      </c>
      <c r="E706" s="0" t="n">
        <v>250</v>
      </c>
      <c r="F706" s="0" t="n">
        <v>534</v>
      </c>
      <c r="G706" s="0" t="n">
        <v>15</v>
      </c>
      <c r="H706" s="0" t="n">
        <v>12</v>
      </c>
      <c r="I706" s="0" t="n">
        <v>12</v>
      </c>
      <c r="J706" s="0" t="n">
        <v>12</v>
      </c>
      <c r="K706" s="0" t="n">
        <v>0.7</v>
      </c>
      <c r="L706" s="1" t="n">
        <v>534</v>
      </c>
      <c r="M706" s="0" t="n">
        <v>0</v>
      </c>
      <c r="N706" s="0" t="n">
        <v>534</v>
      </c>
      <c r="O706" s="0" t="n">
        <v>46338</v>
      </c>
      <c r="P706" s="1" t="n">
        <v>50.97</v>
      </c>
      <c r="Q706" s="0" t="n">
        <v>0</v>
      </c>
      <c r="R706" s="0" t="n">
        <v>1</v>
      </c>
      <c r="S706" s="0" t="s">
        <v>42</v>
      </c>
      <c r="T706" s="0" t="str">
        <f aca="false">IF(L706="inf","False","True")</f>
        <v>True</v>
      </c>
      <c r="U706" s="0" t="str">
        <f aca="false">IF(V706="inf","False","True")</f>
        <v>False</v>
      </c>
      <c r="V706" s="4" t="s">
        <v>37</v>
      </c>
      <c r="W706" s="4" t="s">
        <v>37</v>
      </c>
      <c r="X706" s="0" t="n">
        <v>676.36</v>
      </c>
      <c r="Y706" s="5" t="e">
        <f aca="false">V706-L706</f>
        <v>#VALUE!</v>
      </c>
      <c r="Z706" s="6" t="e">
        <f aca="false">Y706/L706</f>
        <v>#VALUE!</v>
      </c>
      <c r="AA706" s="3" t="n">
        <f aca="false">X706-P706</f>
        <v>625.39</v>
      </c>
      <c r="AB706" s="6" t="n">
        <f aca="false">AA706/P706</f>
        <v>12.269766529331</v>
      </c>
    </row>
    <row r="707" customFormat="false" ht="12.75" hidden="false" customHeight="false" outlineLevel="0" collapsed="false">
      <c r="A707" s="0" t="s">
        <v>816</v>
      </c>
      <c r="B707" s="0" t="n">
        <v>0</v>
      </c>
      <c r="C707" s="0" t="s">
        <v>31</v>
      </c>
      <c r="D707" s="0" t="s">
        <v>31</v>
      </c>
      <c r="E707" s="0" t="n">
        <v>416</v>
      </c>
      <c r="F707" s="0" t="n">
        <v>853</v>
      </c>
      <c r="G707" s="0" t="n">
        <v>15</v>
      </c>
      <c r="H707" s="0" t="n">
        <v>12</v>
      </c>
      <c r="I707" s="0" t="n">
        <v>12</v>
      </c>
      <c r="J707" s="0" t="n">
        <v>12</v>
      </c>
      <c r="K707" s="0" t="n">
        <v>0.7</v>
      </c>
      <c r="L707" s="1" t="n">
        <v>102467.22</v>
      </c>
      <c r="M707" s="0" t="n">
        <v>101659.94</v>
      </c>
      <c r="N707" s="0" t="n">
        <v>807.28</v>
      </c>
      <c r="O707" s="0" t="n">
        <v>65778.75</v>
      </c>
      <c r="P707" s="1" t="n">
        <v>655.27</v>
      </c>
      <c r="Q707" s="0" t="n">
        <v>0.12</v>
      </c>
      <c r="R707" s="0" t="n">
        <v>5</v>
      </c>
      <c r="S707" s="0" t="s">
        <v>32</v>
      </c>
      <c r="T707" s="0" t="str">
        <f aca="false">IF(L707="inf","False","True")</f>
        <v>True</v>
      </c>
      <c r="U707" s="0" t="str">
        <f aca="false">IF(V707="inf","False","True")</f>
        <v>False</v>
      </c>
      <c r="V707" s="4" t="s">
        <v>37</v>
      </c>
      <c r="W707" s="4" t="s">
        <v>37</v>
      </c>
      <c r="X707" s="0" t="n">
        <v>162.3</v>
      </c>
      <c r="Y707" s="5" t="e">
        <f aca="false">V707-L707</f>
        <v>#VALUE!</v>
      </c>
      <c r="Z707" s="6" t="e">
        <f aca="false">Y707/L707</f>
        <v>#VALUE!</v>
      </c>
      <c r="AA707" s="3" t="n">
        <f aca="false">X707-P707</f>
        <v>-492.97</v>
      </c>
      <c r="AB707" s="6" t="n">
        <f aca="false">AA707/P707</f>
        <v>-0.752315839272361</v>
      </c>
    </row>
    <row r="708" customFormat="false" ht="12.75" hidden="false" customHeight="false" outlineLevel="0" collapsed="false">
      <c r="A708" s="0" t="s">
        <v>817</v>
      </c>
      <c r="B708" s="0" t="n">
        <v>1</v>
      </c>
      <c r="C708" s="0" t="s">
        <v>31</v>
      </c>
      <c r="D708" s="0" t="s">
        <v>31</v>
      </c>
      <c r="E708" s="0" t="n">
        <v>416</v>
      </c>
      <c r="F708" s="0" t="n">
        <v>885</v>
      </c>
      <c r="G708" s="0" t="n">
        <v>15</v>
      </c>
      <c r="H708" s="0" t="n">
        <v>12</v>
      </c>
      <c r="I708" s="0" t="n">
        <v>12</v>
      </c>
      <c r="J708" s="0" t="n">
        <v>12</v>
      </c>
      <c r="K708" s="0" t="n">
        <v>0.7</v>
      </c>
      <c r="L708" s="1" t="n">
        <v>885</v>
      </c>
      <c r="M708" s="0" t="n">
        <v>0</v>
      </c>
      <c r="N708" s="0" t="n">
        <v>885</v>
      </c>
      <c r="O708" s="0" t="n">
        <v>72195</v>
      </c>
      <c r="P708" s="1" t="n">
        <v>84.72</v>
      </c>
      <c r="Q708" s="0" t="n">
        <v>0</v>
      </c>
      <c r="R708" s="0" t="n">
        <v>1</v>
      </c>
      <c r="S708" s="0" t="s">
        <v>42</v>
      </c>
      <c r="T708" s="0" t="str">
        <f aca="false">IF(L708="inf","False","True")</f>
        <v>True</v>
      </c>
      <c r="U708" s="0" t="str">
        <f aca="false">IF(V708="inf","False","True")</f>
        <v>False</v>
      </c>
      <c r="V708" s="4" t="s">
        <v>37</v>
      </c>
      <c r="W708" s="4" t="s">
        <v>37</v>
      </c>
      <c r="X708" s="0" t="n">
        <v>665.23</v>
      </c>
      <c r="Y708" s="5" t="e">
        <f aca="false">V708-L708</f>
        <v>#VALUE!</v>
      </c>
      <c r="Z708" s="6" t="e">
        <f aca="false">Y708/L708</f>
        <v>#VALUE!</v>
      </c>
      <c r="AA708" s="3" t="n">
        <f aca="false">X708-P708</f>
        <v>580.51</v>
      </c>
      <c r="AB708" s="6" t="n">
        <f aca="false">AA708/P708</f>
        <v>6.85210103871577</v>
      </c>
    </row>
    <row r="709" customFormat="false" ht="12.75" hidden="false" customHeight="false" outlineLevel="0" collapsed="false">
      <c r="A709" s="0" t="s">
        <v>818</v>
      </c>
      <c r="B709" s="0" t="n">
        <v>2</v>
      </c>
      <c r="C709" s="0" t="s">
        <v>31</v>
      </c>
      <c r="D709" s="0" t="s">
        <v>31</v>
      </c>
      <c r="E709" s="0" t="n">
        <v>416</v>
      </c>
      <c r="F709" s="0" t="n">
        <v>852</v>
      </c>
      <c r="G709" s="0" t="n">
        <v>15</v>
      </c>
      <c r="H709" s="0" t="n">
        <v>12</v>
      </c>
      <c r="I709" s="0" t="n">
        <v>12</v>
      </c>
      <c r="J709" s="0" t="n">
        <v>12</v>
      </c>
      <c r="K709" s="0" t="n">
        <v>0.7</v>
      </c>
      <c r="L709" s="1" t="n">
        <v>852</v>
      </c>
      <c r="M709" s="0" t="n">
        <v>0</v>
      </c>
      <c r="N709" s="0" t="n">
        <v>852</v>
      </c>
      <c r="O709" s="0" t="n">
        <v>75563</v>
      </c>
      <c r="P709" s="1" t="n">
        <v>45.07</v>
      </c>
      <c r="Q709" s="0" t="n">
        <v>0</v>
      </c>
      <c r="R709" s="0" t="n">
        <v>1</v>
      </c>
      <c r="S709" s="0" t="s">
        <v>42</v>
      </c>
      <c r="T709" s="0" t="str">
        <f aca="false">IF(L709="inf","False","True")</f>
        <v>True</v>
      </c>
      <c r="U709" s="0" t="str">
        <f aca="false">IF(V709="inf","False","True")</f>
        <v>True</v>
      </c>
      <c r="V709" s="4" t="n">
        <v>127351.47</v>
      </c>
      <c r="W709" s="4" t="n">
        <v>64702.63</v>
      </c>
      <c r="X709" s="0" t="n">
        <v>324.58</v>
      </c>
      <c r="Y709" s="5" t="n">
        <f aca="false">V709-L709</f>
        <v>126499.47</v>
      </c>
      <c r="Z709" s="6" t="n">
        <f aca="false">Y709/L709</f>
        <v>148.473556338028</v>
      </c>
      <c r="AA709" s="3" t="n">
        <f aca="false">X709-P709</f>
        <v>279.51</v>
      </c>
      <c r="AB709" s="6" t="n">
        <f aca="false">AA709/P709</f>
        <v>6.20168626580874</v>
      </c>
    </row>
    <row r="710" customFormat="false" ht="12.75" hidden="false" customHeight="false" outlineLevel="0" collapsed="false">
      <c r="A710" s="0" t="s">
        <v>819</v>
      </c>
      <c r="B710" s="0" t="n">
        <v>3</v>
      </c>
      <c r="C710" s="0" t="s">
        <v>31</v>
      </c>
      <c r="D710" s="0" t="s">
        <v>31</v>
      </c>
      <c r="E710" s="0" t="n">
        <v>416</v>
      </c>
      <c r="F710" s="0" t="n">
        <v>852</v>
      </c>
      <c r="G710" s="0" t="n">
        <v>15</v>
      </c>
      <c r="H710" s="0" t="n">
        <v>12</v>
      </c>
      <c r="I710" s="0" t="n">
        <v>12</v>
      </c>
      <c r="J710" s="0" t="n">
        <v>12</v>
      </c>
      <c r="K710" s="0" t="n">
        <v>0.7</v>
      </c>
      <c r="L710" s="1" t="n">
        <v>250293.33</v>
      </c>
      <c r="M710" s="0" t="n">
        <v>249522.99</v>
      </c>
      <c r="N710" s="0" t="n">
        <v>770.34</v>
      </c>
      <c r="O710" s="0" t="n">
        <v>62069.44</v>
      </c>
      <c r="P710" s="1" t="n">
        <v>666.45</v>
      </c>
      <c r="Q710" s="0" t="n">
        <v>0.04</v>
      </c>
      <c r="R710" s="0" t="n">
        <v>3</v>
      </c>
      <c r="S710" s="0" t="s">
        <v>32</v>
      </c>
      <c r="T710" s="0" t="str">
        <f aca="false">IF(L710="inf","False","True")</f>
        <v>True</v>
      </c>
      <c r="U710" s="0" t="str">
        <f aca="false">IF(V710="inf","False","True")</f>
        <v>False</v>
      </c>
      <c r="V710" s="4" t="s">
        <v>37</v>
      </c>
      <c r="W710" s="4" t="s">
        <v>37</v>
      </c>
      <c r="X710" s="0" t="n">
        <v>615.53</v>
      </c>
      <c r="Y710" s="5" t="e">
        <f aca="false">V710-L710</f>
        <v>#VALUE!</v>
      </c>
      <c r="Z710" s="6" t="e">
        <f aca="false">Y710/L710</f>
        <v>#VALUE!</v>
      </c>
      <c r="AA710" s="3" t="n">
        <f aca="false">X710-P710</f>
        <v>-50.9200000000001</v>
      </c>
      <c r="AB710" s="6" t="n">
        <f aca="false">AA710/P710</f>
        <v>-0.0764048315702604</v>
      </c>
    </row>
    <row r="711" customFormat="false" ht="12.75" hidden="false" customHeight="false" outlineLevel="0" collapsed="false">
      <c r="A711" s="0" t="s">
        <v>820</v>
      </c>
      <c r="B711" s="0" t="n">
        <v>4</v>
      </c>
      <c r="C711" s="0" t="s">
        <v>31</v>
      </c>
      <c r="D711" s="0" t="s">
        <v>31</v>
      </c>
      <c r="E711" s="0" t="n">
        <v>416</v>
      </c>
      <c r="F711" s="0" t="n">
        <v>896</v>
      </c>
      <c r="G711" s="0" t="n">
        <v>15</v>
      </c>
      <c r="H711" s="0" t="n">
        <v>12</v>
      </c>
      <c r="I711" s="0" t="n">
        <v>12</v>
      </c>
      <c r="J711" s="0" t="n">
        <v>12</v>
      </c>
      <c r="K711" s="0" t="n">
        <v>0.7</v>
      </c>
      <c r="L711" s="1" t="n">
        <v>896</v>
      </c>
      <c r="M711" s="0" t="n">
        <v>0</v>
      </c>
      <c r="N711" s="0" t="n">
        <v>896</v>
      </c>
      <c r="O711" s="0" t="n">
        <v>78133</v>
      </c>
      <c r="P711" s="1" t="n">
        <v>74.13</v>
      </c>
      <c r="Q711" s="0" t="n">
        <v>0</v>
      </c>
      <c r="R711" s="0" t="n">
        <v>5</v>
      </c>
      <c r="S711" s="0" t="s">
        <v>42</v>
      </c>
      <c r="T711" s="0" t="str">
        <f aca="false">IF(L711="inf","False","True")</f>
        <v>True</v>
      </c>
      <c r="U711" s="0" t="str">
        <f aca="false">IF(V711="inf","False","True")</f>
        <v>True</v>
      </c>
      <c r="V711" s="4" t="n">
        <v>306160.16</v>
      </c>
      <c r="W711" s="4" t="n">
        <v>66889.8</v>
      </c>
      <c r="X711" s="0" t="n">
        <v>104.37</v>
      </c>
      <c r="Y711" s="5" t="n">
        <f aca="false">V711-L711</f>
        <v>305264.16</v>
      </c>
      <c r="Z711" s="6" t="n">
        <f aca="false">Y711/L711</f>
        <v>340.696607142857</v>
      </c>
      <c r="AA711" s="3" t="n">
        <f aca="false">X711-P711</f>
        <v>30.24</v>
      </c>
      <c r="AB711" s="6" t="n">
        <f aca="false">AA711/P711</f>
        <v>0.407932011331445</v>
      </c>
    </row>
    <row r="712" customFormat="false" ht="12.75" hidden="false" customHeight="false" outlineLevel="0" collapsed="false">
      <c r="A712" s="0" t="s">
        <v>821</v>
      </c>
      <c r="B712" s="0" t="n">
        <v>0</v>
      </c>
      <c r="C712" s="0" t="s">
        <v>31</v>
      </c>
      <c r="D712" s="0" t="s">
        <v>31</v>
      </c>
      <c r="E712" s="0" t="n">
        <v>583</v>
      </c>
      <c r="F712" s="0" t="n">
        <v>1203</v>
      </c>
      <c r="G712" s="0" t="n">
        <v>15</v>
      </c>
      <c r="H712" s="0" t="n">
        <v>12</v>
      </c>
      <c r="I712" s="0" t="n">
        <v>12</v>
      </c>
      <c r="J712" s="0" t="n">
        <v>12</v>
      </c>
      <c r="K712" s="0" t="n">
        <v>0.7</v>
      </c>
      <c r="L712" s="1" t="n">
        <v>260749.99</v>
      </c>
      <c r="M712" s="0" t="n">
        <v>259641.25</v>
      </c>
      <c r="N712" s="0" t="n">
        <v>1108.74</v>
      </c>
      <c r="O712" s="0" t="n">
        <v>88658.89</v>
      </c>
      <c r="P712" s="1" t="n">
        <v>661.51</v>
      </c>
      <c r="Q712" s="0" t="n">
        <v>0.17</v>
      </c>
      <c r="R712" s="0" t="n">
        <v>1</v>
      </c>
      <c r="S712" s="0" t="s">
        <v>42</v>
      </c>
      <c r="T712" s="0" t="str">
        <f aca="false">IF(L712="inf","False","True")</f>
        <v>True</v>
      </c>
      <c r="U712" s="0" t="str">
        <f aca="false">IF(V712="inf","False","True")</f>
        <v>True</v>
      </c>
      <c r="V712" s="4" t="n">
        <v>318079.09</v>
      </c>
      <c r="W712" s="4" t="n">
        <v>92323.01</v>
      </c>
      <c r="X712" s="0" t="n">
        <v>14.64</v>
      </c>
      <c r="Y712" s="5" t="n">
        <f aca="false">V712-L712</f>
        <v>57329.1</v>
      </c>
      <c r="Z712" s="6" t="n">
        <f aca="false">Y712/L712</f>
        <v>0.219862328662026</v>
      </c>
      <c r="AA712" s="3" t="n">
        <f aca="false">X712-P712</f>
        <v>-646.87</v>
      </c>
      <c r="AB712" s="6" t="n">
        <f aca="false">AA712/P712</f>
        <v>-0.977868815286239</v>
      </c>
    </row>
    <row r="713" customFormat="false" ht="12.75" hidden="false" customHeight="false" outlineLevel="0" collapsed="false">
      <c r="A713" s="0" t="s">
        <v>822</v>
      </c>
      <c r="B713" s="0" t="n">
        <v>1</v>
      </c>
      <c r="C713" s="0" t="s">
        <v>31</v>
      </c>
      <c r="D713" s="0" t="s">
        <v>31</v>
      </c>
      <c r="E713" s="0" t="n">
        <v>583</v>
      </c>
      <c r="F713" s="0" t="n">
        <v>1249</v>
      </c>
      <c r="G713" s="0" t="n">
        <v>15</v>
      </c>
      <c r="H713" s="0" t="n">
        <v>12</v>
      </c>
      <c r="I713" s="0" t="n">
        <v>12</v>
      </c>
      <c r="J713" s="0" t="n">
        <v>12</v>
      </c>
      <c r="K713" s="0" t="n">
        <v>0.7</v>
      </c>
      <c r="L713" s="1" t="n">
        <v>1243.27</v>
      </c>
      <c r="M713" s="0" t="n">
        <v>0</v>
      </c>
      <c r="N713" s="0" t="n">
        <v>1243.27</v>
      </c>
      <c r="O713" s="0" t="n">
        <v>101011</v>
      </c>
      <c r="P713" s="1" t="n">
        <v>111.18</v>
      </c>
      <c r="Q713" s="0" t="n">
        <v>0</v>
      </c>
      <c r="R713" s="0" t="n">
        <v>8</v>
      </c>
      <c r="S713" s="0" t="s">
        <v>823</v>
      </c>
      <c r="T713" s="0" t="str">
        <f aca="false">IF(L713="inf","False","True")</f>
        <v>True</v>
      </c>
      <c r="U713" s="0" t="str">
        <f aca="false">IF(V713="inf","False","True")</f>
        <v>False</v>
      </c>
      <c r="V713" s="4" t="s">
        <v>37</v>
      </c>
      <c r="W713" s="4" t="s">
        <v>37</v>
      </c>
      <c r="X713" s="0" t="n">
        <v>635.17</v>
      </c>
      <c r="Y713" s="5" t="e">
        <f aca="false">V713-L713</f>
        <v>#VALUE!</v>
      </c>
      <c r="Z713" s="6" t="e">
        <f aca="false">Y713/L713</f>
        <v>#VALUE!</v>
      </c>
      <c r="AA713" s="3" t="n">
        <f aca="false">X713-P713</f>
        <v>523.99</v>
      </c>
      <c r="AB713" s="6" t="n">
        <f aca="false">AA713/P713</f>
        <v>4.71298794747257</v>
      </c>
    </row>
    <row r="714" customFormat="false" ht="12.75" hidden="false" customHeight="false" outlineLevel="0" collapsed="false">
      <c r="A714" s="0" t="s">
        <v>824</v>
      </c>
      <c r="B714" s="0" t="n">
        <v>2</v>
      </c>
      <c r="C714" s="0" t="s">
        <v>31</v>
      </c>
      <c r="D714" s="0" t="s">
        <v>31</v>
      </c>
      <c r="E714" s="0" t="n">
        <v>583</v>
      </c>
      <c r="F714" s="0" t="n">
        <v>1204</v>
      </c>
      <c r="G714" s="0" t="n">
        <v>15</v>
      </c>
      <c r="H714" s="0" t="n">
        <v>12</v>
      </c>
      <c r="I714" s="0" t="n">
        <v>12</v>
      </c>
      <c r="J714" s="0" t="n">
        <v>12</v>
      </c>
      <c r="K714" s="0" t="n">
        <v>0.7</v>
      </c>
      <c r="L714" s="1" t="n">
        <v>1204</v>
      </c>
      <c r="M714" s="0" t="n">
        <v>0</v>
      </c>
      <c r="N714" s="0" t="n">
        <v>1204</v>
      </c>
      <c r="O714" s="0" t="n">
        <v>105705</v>
      </c>
      <c r="P714" s="1" t="n">
        <v>69.72</v>
      </c>
      <c r="Q714" s="0" t="n">
        <v>0</v>
      </c>
      <c r="R714" s="0" t="n">
        <v>5</v>
      </c>
      <c r="S714" s="0" t="s">
        <v>42</v>
      </c>
      <c r="T714" s="0" t="str">
        <f aca="false">IF(L714="inf","False","True")</f>
        <v>True</v>
      </c>
      <c r="U714" s="0" t="str">
        <f aca="false">IF(V714="inf","False","True")</f>
        <v>True</v>
      </c>
      <c r="V714" s="4" t="n">
        <v>241654.37</v>
      </c>
      <c r="W714" s="4" t="n">
        <v>88435.9</v>
      </c>
      <c r="X714" s="0" t="n">
        <v>12.21</v>
      </c>
      <c r="Y714" s="5" t="n">
        <f aca="false">V714-L714</f>
        <v>240450.37</v>
      </c>
      <c r="Z714" s="6" t="n">
        <f aca="false">Y714/L714</f>
        <v>199.709609634552</v>
      </c>
      <c r="AA714" s="3" t="n">
        <f aca="false">X714-P714</f>
        <v>-57.51</v>
      </c>
      <c r="AB714" s="6" t="n">
        <f aca="false">AA714/P714</f>
        <v>-0.82487091222031</v>
      </c>
    </row>
    <row r="715" customFormat="false" ht="12.75" hidden="false" customHeight="false" outlineLevel="0" collapsed="false">
      <c r="A715" s="0" t="s">
        <v>825</v>
      </c>
      <c r="B715" s="0" t="n">
        <v>3</v>
      </c>
      <c r="C715" s="0" t="s">
        <v>31</v>
      </c>
      <c r="D715" s="0" t="s">
        <v>31</v>
      </c>
      <c r="E715" s="0" t="n">
        <v>583</v>
      </c>
      <c r="F715" s="0" t="n">
        <v>1202</v>
      </c>
      <c r="G715" s="0" t="n">
        <v>15</v>
      </c>
      <c r="H715" s="0" t="n">
        <v>12</v>
      </c>
      <c r="I715" s="0" t="n">
        <v>12</v>
      </c>
      <c r="J715" s="0" t="n">
        <v>12</v>
      </c>
      <c r="K715" s="0" t="n">
        <v>0.7</v>
      </c>
      <c r="L715" s="1" t="n">
        <v>87636.22</v>
      </c>
      <c r="M715" s="0" t="n">
        <v>86471.49</v>
      </c>
      <c r="N715" s="0" t="n">
        <v>1164.73</v>
      </c>
      <c r="O715" s="0" t="n">
        <v>93368.19</v>
      </c>
      <c r="P715" s="1" t="n">
        <v>640.38</v>
      </c>
      <c r="Q715" s="0" t="n">
        <v>0.19</v>
      </c>
      <c r="R715" s="0" t="n">
        <v>5</v>
      </c>
      <c r="S715" s="0" t="s">
        <v>826</v>
      </c>
      <c r="T715" s="0" t="str">
        <f aca="false">IF(L715="inf","False","True")</f>
        <v>True</v>
      </c>
      <c r="U715" s="0" t="str">
        <f aca="false">IF(V715="inf","False","True")</f>
        <v>False</v>
      </c>
      <c r="V715" s="4" t="s">
        <v>37</v>
      </c>
      <c r="W715" s="4" t="s">
        <v>37</v>
      </c>
      <c r="X715" s="0" t="n">
        <v>601.63</v>
      </c>
      <c r="Y715" s="5" t="e">
        <f aca="false">V715-L715</f>
        <v>#VALUE!</v>
      </c>
      <c r="Z715" s="6" t="e">
        <f aca="false">Y715/L715</f>
        <v>#VALUE!</v>
      </c>
      <c r="AA715" s="3" t="n">
        <f aca="false">X715-P715</f>
        <v>-38.75</v>
      </c>
      <c r="AB715" s="6" t="n">
        <f aca="false">AA715/P715</f>
        <v>-0.0605109466254411</v>
      </c>
    </row>
    <row r="716" customFormat="false" ht="12.75" hidden="false" customHeight="false" outlineLevel="0" collapsed="false">
      <c r="A716" s="0" t="s">
        <v>827</v>
      </c>
      <c r="B716" s="0" t="n">
        <v>4</v>
      </c>
      <c r="C716" s="0" t="s">
        <v>31</v>
      </c>
      <c r="D716" s="0" t="s">
        <v>31</v>
      </c>
      <c r="E716" s="0" t="n">
        <v>583</v>
      </c>
      <c r="F716" s="0" t="n">
        <v>1264</v>
      </c>
      <c r="G716" s="0" t="n">
        <v>15</v>
      </c>
      <c r="H716" s="0" t="n">
        <v>12</v>
      </c>
      <c r="I716" s="0" t="n">
        <v>12</v>
      </c>
      <c r="J716" s="0" t="n">
        <v>12</v>
      </c>
      <c r="K716" s="0" t="n">
        <v>0.7</v>
      </c>
      <c r="L716" s="1" t="n">
        <v>1264</v>
      </c>
      <c r="M716" s="0" t="n">
        <v>0</v>
      </c>
      <c r="N716" s="0" t="n">
        <v>1264</v>
      </c>
      <c r="O716" s="0" t="n">
        <v>107938</v>
      </c>
      <c r="P716" s="1" t="n">
        <v>72.95</v>
      </c>
      <c r="Q716" s="0" t="n">
        <v>0</v>
      </c>
      <c r="R716" s="0" t="n">
        <v>6</v>
      </c>
      <c r="S716" s="0" t="s">
        <v>42</v>
      </c>
      <c r="T716" s="0" t="str">
        <f aca="false">IF(L716="inf","False","True")</f>
        <v>True</v>
      </c>
      <c r="U716" s="0" t="str">
        <f aca="false">IF(V716="inf","False","True")</f>
        <v>False</v>
      </c>
      <c r="V716" s="4" t="s">
        <v>37</v>
      </c>
      <c r="W716" s="4" t="s">
        <v>37</v>
      </c>
      <c r="X716" s="0" t="n">
        <v>609.87</v>
      </c>
      <c r="Y716" s="5" t="e">
        <f aca="false">V716-L716</f>
        <v>#VALUE!</v>
      </c>
      <c r="Z716" s="6" t="e">
        <f aca="false">Y716/L716</f>
        <v>#VALUE!</v>
      </c>
      <c r="AA716" s="3" t="n">
        <f aca="false">X716-P716</f>
        <v>536.92</v>
      </c>
      <c r="AB716" s="6" t="n">
        <f aca="false">AA716/P716</f>
        <v>7.36010966415353</v>
      </c>
    </row>
    <row r="717" customFormat="false" ht="12.75" hidden="false" customHeight="false" outlineLevel="0" collapsed="false">
      <c r="A717" s="0" t="s">
        <v>828</v>
      </c>
      <c r="B717" s="0" t="n">
        <v>0</v>
      </c>
      <c r="C717" s="0" t="s">
        <v>31</v>
      </c>
      <c r="D717" s="0" t="s">
        <v>31</v>
      </c>
      <c r="E717" s="0" t="n">
        <v>833</v>
      </c>
      <c r="F717" s="0" t="n">
        <v>1721</v>
      </c>
      <c r="G717" s="0" t="n">
        <v>15</v>
      </c>
      <c r="H717" s="0" t="n">
        <v>12</v>
      </c>
      <c r="I717" s="0" t="n">
        <v>12</v>
      </c>
      <c r="J717" s="0" t="n">
        <v>12</v>
      </c>
      <c r="K717" s="0" t="n">
        <v>0.7</v>
      </c>
      <c r="L717" s="1" t="n">
        <v>455451.72</v>
      </c>
      <c r="M717" s="0" t="n">
        <v>453773.82</v>
      </c>
      <c r="N717" s="0" t="n">
        <v>1677.89</v>
      </c>
      <c r="O717" s="0" t="n">
        <v>123908.7</v>
      </c>
      <c r="P717" s="1" t="n">
        <v>688.32</v>
      </c>
      <c r="Q717" s="0" t="n">
        <v>0.05</v>
      </c>
      <c r="R717" s="0" t="n">
        <v>2</v>
      </c>
      <c r="S717" s="0" t="s">
        <v>32</v>
      </c>
      <c r="T717" s="0" t="str">
        <f aca="false">IF(L717="inf","False","True")</f>
        <v>True</v>
      </c>
      <c r="U717" s="0" t="str">
        <f aca="false">IF(V717="inf","False","True")</f>
        <v>False</v>
      </c>
      <c r="V717" s="4" t="s">
        <v>37</v>
      </c>
      <c r="W717" s="4" t="s">
        <v>37</v>
      </c>
      <c r="X717" s="0" t="n">
        <v>400.16</v>
      </c>
      <c r="Y717" s="5" t="e">
        <f aca="false">V717-L717</f>
        <v>#VALUE!</v>
      </c>
      <c r="Z717" s="6" t="e">
        <f aca="false">Y717/L717</f>
        <v>#VALUE!</v>
      </c>
      <c r="AA717" s="3" t="n">
        <f aca="false">X717-P717</f>
        <v>-288.16</v>
      </c>
      <c r="AB717" s="6" t="n">
        <f aca="false">AA717/P717</f>
        <v>-0.418642491864249</v>
      </c>
    </row>
    <row r="718" customFormat="false" ht="12.75" hidden="false" customHeight="false" outlineLevel="0" collapsed="false">
      <c r="A718" s="0" t="s">
        <v>829</v>
      </c>
      <c r="B718" s="0" t="n">
        <v>1</v>
      </c>
      <c r="C718" s="0" t="s">
        <v>31</v>
      </c>
      <c r="D718" s="0" t="s">
        <v>31</v>
      </c>
      <c r="E718" s="0" t="n">
        <v>833</v>
      </c>
      <c r="F718" s="0" t="n">
        <v>1785</v>
      </c>
      <c r="G718" s="0" t="n">
        <v>15</v>
      </c>
      <c r="H718" s="0" t="n">
        <v>12</v>
      </c>
      <c r="I718" s="0" t="n">
        <v>12</v>
      </c>
      <c r="J718" s="0" t="n">
        <v>12</v>
      </c>
      <c r="K718" s="0" t="n">
        <v>0.7</v>
      </c>
      <c r="L718" s="1" t="n">
        <v>1785</v>
      </c>
      <c r="M718" s="0" t="n">
        <v>0</v>
      </c>
      <c r="N718" s="0" t="n">
        <v>1785</v>
      </c>
      <c r="O718" s="0" t="n">
        <v>144334</v>
      </c>
      <c r="P718" s="1" t="n">
        <v>124.36</v>
      </c>
      <c r="Q718" s="0" t="n">
        <v>0</v>
      </c>
      <c r="R718" s="0" t="n">
        <v>1</v>
      </c>
      <c r="S718" s="0" t="s">
        <v>42</v>
      </c>
      <c r="T718" s="0" t="str">
        <f aca="false">IF(L718="inf","False","True")</f>
        <v>True</v>
      </c>
      <c r="U718" s="0" t="str">
        <f aca="false">IF(V718="inf","False","True")</f>
        <v>False</v>
      </c>
      <c r="V718" s="4" t="s">
        <v>37</v>
      </c>
      <c r="W718" s="4" t="s">
        <v>37</v>
      </c>
      <c r="X718" s="0" t="n">
        <v>600.63</v>
      </c>
      <c r="Y718" s="5" t="e">
        <f aca="false">V718-L718</f>
        <v>#VALUE!</v>
      </c>
      <c r="Z718" s="6" t="e">
        <f aca="false">Y718/L718</f>
        <v>#VALUE!</v>
      </c>
      <c r="AA718" s="3" t="n">
        <f aca="false">X718-P718</f>
        <v>476.27</v>
      </c>
      <c r="AB718" s="6" t="n">
        <f aca="false">AA718/P718</f>
        <v>3.82976841428112</v>
      </c>
    </row>
    <row r="719" customFormat="false" ht="12.75" hidden="false" customHeight="false" outlineLevel="0" collapsed="false">
      <c r="A719" s="0" t="s">
        <v>830</v>
      </c>
      <c r="B719" s="0" t="n">
        <v>2</v>
      </c>
      <c r="C719" s="0" t="s">
        <v>31</v>
      </c>
      <c r="D719" s="0" t="s">
        <v>31</v>
      </c>
      <c r="E719" s="0" t="n">
        <v>833</v>
      </c>
      <c r="F719" s="0" t="n">
        <v>1721</v>
      </c>
      <c r="G719" s="0" t="n">
        <v>15</v>
      </c>
      <c r="H719" s="0" t="n">
        <v>12</v>
      </c>
      <c r="I719" s="0" t="n">
        <v>12</v>
      </c>
      <c r="J719" s="0" t="n">
        <v>12</v>
      </c>
      <c r="K719" s="0" t="n">
        <v>0.7</v>
      </c>
      <c r="L719" s="1" t="n">
        <v>1721</v>
      </c>
      <c r="M719" s="0" t="n">
        <v>0</v>
      </c>
      <c r="N719" s="0" t="n">
        <v>1721</v>
      </c>
      <c r="O719" s="0" t="n">
        <v>150987</v>
      </c>
      <c r="P719" s="1" t="n">
        <v>61.32</v>
      </c>
      <c r="Q719" s="0" t="n">
        <v>0</v>
      </c>
      <c r="R719" s="0" t="n">
        <v>5</v>
      </c>
      <c r="S719" s="0" t="s">
        <v>42</v>
      </c>
      <c r="T719" s="0" t="str">
        <f aca="false">IF(L719="inf","False","True")</f>
        <v>True</v>
      </c>
      <c r="U719" s="0" t="str">
        <f aca="false">IF(V719="inf","False","True")</f>
        <v>True</v>
      </c>
      <c r="V719" s="4" t="n">
        <v>342958.89</v>
      </c>
      <c r="W719" s="4" t="n">
        <v>125655.96</v>
      </c>
      <c r="X719" s="0" t="n">
        <v>542.19</v>
      </c>
      <c r="Y719" s="5" t="n">
        <f aca="false">V719-L719</f>
        <v>341237.89</v>
      </c>
      <c r="Z719" s="6" t="n">
        <f aca="false">Y719/L719</f>
        <v>198.278843695526</v>
      </c>
      <c r="AA719" s="3" t="n">
        <f aca="false">X719-P719</f>
        <v>480.87</v>
      </c>
      <c r="AB719" s="6" t="n">
        <f aca="false">AA719/P719</f>
        <v>7.84197651663405</v>
      </c>
    </row>
    <row r="720" customFormat="false" ht="12.75" hidden="false" customHeight="false" outlineLevel="0" collapsed="false">
      <c r="A720" s="0" t="s">
        <v>831</v>
      </c>
      <c r="B720" s="0" t="n">
        <v>3</v>
      </c>
      <c r="C720" s="0" t="s">
        <v>31</v>
      </c>
      <c r="D720" s="0" t="s">
        <v>31</v>
      </c>
      <c r="E720" s="0" t="n">
        <v>833</v>
      </c>
      <c r="F720" s="0" t="n">
        <v>1719</v>
      </c>
      <c r="G720" s="0" t="n">
        <v>15</v>
      </c>
      <c r="H720" s="0" t="n">
        <v>12</v>
      </c>
      <c r="I720" s="0" t="n">
        <v>12</v>
      </c>
      <c r="J720" s="0" t="n">
        <v>12</v>
      </c>
      <c r="K720" s="0" t="n">
        <v>0.7</v>
      </c>
      <c r="L720" s="1" t="n">
        <v>489075.8</v>
      </c>
      <c r="M720" s="0" t="n">
        <v>487517.57</v>
      </c>
      <c r="N720" s="0" t="n">
        <v>1558.23</v>
      </c>
      <c r="O720" s="0" t="n">
        <v>123726.22</v>
      </c>
      <c r="P720" s="1" t="n">
        <v>641.91</v>
      </c>
      <c r="Q720" s="0" t="n">
        <v>0.02</v>
      </c>
      <c r="R720" s="0" t="n">
        <v>3</v>
      </c>
      <c r="S720" s="0" t="s">
        <v>32</v>
      </c>
      <c r="T720" s="0" t="str">
        <f aca="false">IF(L720="inf","False","True")</f>
        <v>True</v>
      </c>
      <c r="U720" s="0" t="str">
        <f aca="false">IF(V720="inf","False","True")</f>
        <v>False</v>
      </c>
      <c r="V720" s="4" t="s">
        <v>37</v>
      </c>
      <c r="W720" s="4" t="s">
        <v>37</v>
      </c>
      <c r="X720" s="0" t="n">
        <v>612.62</v>
      </c>
      <c r="Y720" s="5" t="e">
        <f aca="false">V720-L720</f>
        <v>#VALUE!</v>
      </c>
      <c r="Z720" s="6" t="e">
        <f aca="false">Y720/L720</f>
        <v>#VALUE!</v>
      </c>
      <c r="AA720" s="3" t="n">
        <f aca="false">X720-P720</f>
        <v>-29.29</v>
      </c>
      <c r="AB720" s="6" t="n">
        <f aca="false">AA720/P720</f>
        <v>-0.0456294496113162</v>
      </c>
    </row>
    <row r="721" customFormat="false" ht="12.75" hidden="false" customHeight="false" outlineLevel="0" collapsed="false">
      <c r="A721" s="0" t="s">
        <v>832</v>
      </c>
      <c r="B721" s="0" t="n">
        <v>4</v>
      </c>
      <c r="C721" s="0" t="s">
        <v>31</v>
      </c>
      <c r="D721" s="0" t="s">
        <v>31</v>
      </c>
      <c r="E721" s="0" t="n">
        <v>833</v>
      </c>
      <c r="F721" s="0" t="n">
        <v>1808</v>
      </c>
      <c r="G721" s="0" t="n">
        <v>15</v>
      </c>
      <c r="H721" s="0" t="n">
        <v>12</v>
      </c>
      <c r="I721" s="0" t="n">
        <v>12</v>
      </c>
      <c r="J721" s="0" t="n">
        <v>12</v>
      </c>
      <c r="K721" s="0" t="n">
        <v>0.7</v>
      </c>
      <c r="L721" s="1" t="n">
        <v>1808</v>
      </c>
      <c r="M721" s="0" t="n">
        <v>0</v>
      </c>
      <c r="N721" s="0" t="n">
        <v>1808</v>
      </c>
      <c r="O721" s="0" t="n">
        <v>154169</v>
      </c>
      <c r="P721" s="1" t="n">
        <v>68.23</v>
      </c>
      <c r="Q721" s="0" t="n">
        <v>0</v>
      </c>
      <c r="R721" s="0" t="n">
        <v>5</v>
      </c>
      <c r="S721" s="0" t="s">
        <v>42</v>
      </c>
      <c r="T721" s="0" t="str">
        <f aca="false">IF(L721="inf","False","True")</f>
        <v>True</v>
      </c>
      <c r="U721" s="0" t="str">
        <f aca="false">IF(V721="inf","False","True")</f>
        <v>False</v>
      </c>
      <c r="V721" s="4" t="s">
        <v>37</v>
      </c>
      <c r="W721" s="4" t="s">
        <v>37</v>
      </c>
      <c r="X721" s="0" t="n">
        <v>611.57</v>
      </c>
      <c r="Y721" s="5" t="e">
        <f aca="false">V721-L721</f>
        <v>#VALUE!</v>
      </c>
      <c r="Z721" s="6" t="e">
        <f aca="false">Y721/L721</f>
        <v>#VALUE!</v>
      </c>
      <c r="AA721" s="3" t="n">
        <f aca="false">X721-P721</f>
        <v>543.34</v>
      </c>
      <c r="AB721" s="6" t="n">
        <f aca="false">AA721/P721</f>
        <v>7.96335922614686</v>
      </c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Y2:Y721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2025-12-02T12:07:50Z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